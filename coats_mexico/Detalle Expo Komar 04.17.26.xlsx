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cal_mortiz.DOMAIN\INetCache\Content.Outlook\3EHR5MGH\"/>
    </mc:Choice>
  </mc:AlternateContent>
  <xr:revisionPtr revIDLastSave="0" documentId="8_{BED253E9-EB97-45A8-AE52-030D59EC470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Material Detail" sheetId="49" r:id="rId1"/>
    <sheet name="Pallet Detail" sheetId="2" r:id="rId2"/>
    <sheet name="Muestras TNT (2)" sheetId="50" r:id="rId3"/>
    <sheet name="Muestras TNT" sheetId="51" r:id="rId4"/>
  </sheets>
  <definedNames>
    <definedName name="_xlnm._FilterDatabase" localSheetId="0" hidden="1">'Material Detail'!$A$1:$K$125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B25" i="2"/>
  <c r="H24" i="2"/>
  <c r="I24" i="2" s="1"/>
  <c r="G24" i="2" s="1"/>
  <c r="H23" i="2"/>
  <c r="I23" i="2" s="1"/>
  <c r="G23" i="2" s="1"/>
  <c r="H22" i="2"/>
  <c r="I22" i="2" s="1"/>
  <c r="G22" i="2" s="1"/>
  <c r="H21" i="2"/>
  <c r="I21" i="2" s="1"/>
  <c r="G21" i="2" s="1"/>
  <c r="H20" i="2"/>
  <c r="I20" i="2" s="1"/>
  <c r="G20" i="2" s="1"/>
  <c r="H19" i="2"/>
  <c r="I19" i="2" s="1"/>
  <c r="G19" i="2" s="1"/>
  <c r="H18" i="2"/>
  <c r="I18" i="2" s="1"/>
  <c r="G18" i="2" s="1"/>
  <c r="H17" i="2"/>
  <c r="I17" i="2" s="1"/>
  <c r="G17" i="2" s="1"/>
  <c r="H16" i="2"/>
  <c r="I16" i="2" s="1"/>
  <c r="G16" i="2" s="1"/>
  <c r="H15" i="2"/>
  <c r="I15" i="2" s="1"/>
  <c r="G15" i="2" s="1"/>
  <c r="H14" i="2"/>
  <c r="I14" i="2" s="1"/>
  <c r="G14" i="2" s="1"/>
  <c r="H13" i="2"/>
  <c r="I13" i="2" s="1"/>
  <c r="G13" i="2" s="1"/>
  <c r="H12" i="2"/>
  <c r="I12" i="2" s="1"/>
  <c r="G12" i="2" s="1"/>
  <c r="H11" i="2"/>
  <c r="I11" i="2" s="1"/>
  <c r="G11" i="2" s="1"/>
  <c r="A25" i="2"/>
  <c r="D8" i="49" l="1"/>
  <c r="H5" i="2" l="1"/>
  <c r="I5" i="2" l="1"/>
  <c r="G5" i="2" s="1"/>
  <c r="H3" i="2"/>
  <c r="H10" i="2"/>
  <c r="I3" i="2" l="1"/>
  <c r="I10" i="2"/>
  <c r="G10" i="2" s="1"/>
  <c r="H4" i="2"/>
  <c r="H6" i="2"/>
  <c r="H7" i="2"/>
  <c r="H8" i="2"/>
  <c r="H9" i="2"/>
  <c r="H25" i="2" l="1"/>
  <c r="G3" i="2"/>
  <c r="I9" i="2"/>
  <c r="G9" i="2" s="1"/>
  <c r="I8" i="2"/>
  <c r="G8" i="2" s="1"/>
  <c r="I7" i="2"/>
  <c r="G7" i="2" s="1"/>
  <c r="I6" i="2"/>
  <c r="G6" i="2" s="1"/>
  <c r="I4" i="2"/>
  <c r="G4" i="2" s="1"/>
  <c r="I25" i="2" l="1"/>
  <c r="G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tc={09BBE9CC-79C3-4CC9-A21A-B12E2BB7E894}</author>
    <author>tc={B7226F83-77AB-430D-A890-951A079A0E35}</author>
  </authors>
  <commentList>
    <comment ref="A10" authorId="0" shapeId="0" xr:uid="{09BBE9CC-79C3-4CC9-A21A-B12E2BB7E8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Pallet #8 with 44 box, 1386 cones
Pallet #9 with 44 box 1382 cones
Pallet #10 with 44 box 1374 cones
Pallet #11 with 26 box 826 cones </t>
      </text>
    </comment>
    <comment ref="A17" authorId="1" shapeId="0" xr:uid="{B7226F83-77AB-430D-A890-951A079A0E35}">
      <text>
        <t>[Threaded comment]
Your version of Excel allows you to read this threaded comment; however, any edits to it will get removed if the file is opened in a newer version of Excel. Learn more: https://go.microsoft.com/fwlink/?linkid=870924
Comment:
    Pallet #12 with 16 box = 457.217 lb
Pallet #13 with 6 box = 222.783 lb</t>
      </text>
    </comment>
  </commentList>
</comments>
</file>

<file path=xl/sharedStrings.xml><?xml version="1.0" encoding="utf-8"?>
<sst xmlns="http://schemas.openxmlformats.org/spreadsheetml/2006/main" count="752" uniqueCount="235">
  <si>
    <t>KOMAR ALLIANCE LLC                   Sold to: 101830</t>
  </si>
  <si>
    <t>PALLET</t>
  </si>
  <si>
    <t>MATERIAL</t>
  </si>
  <si>
    <t>DESCRIPTION</t>
  </si>
  <si>
    <t>INVOICED QTY</t>
  </si>
  <si>
    <t>UM</t>
  </si>
  <si>
    <t>SAP ORDER</t>
  </si>
  <si>
    <t>No. PEDIDO CLIENTE</t>
  </si>
  <si>
    <t>INVOICE</t>
  </si>
  <si>
    <t>BILLING DATE</t>
  </si>
  <si>
    <t>MON.</t>
  </si>
  <si>
    <t>DOC.MODELO</t>
  </si>
  <si>
    <t>LB</t>
  </si>
  <si>
    <t>USD</t>
  </si>
  <si>
    <t>Pallet</t>
  </si>
  <si>
    <t>Box</t>
  </si>
  <si>
    <t>Medidas (cm)</t>
  </si>
  <si>
    <t>Peso Neto</t>
  </si>
  <si>
    <t>Peso Bruto</t>
  </si>
  <si>
    <t>LARGO</t>
  </si>
  <si>
    <t xml:space="preserve">ANCHO </t>
  </si>
  <si>
    <t>ALTO</t>
  </si>
  <si>
    <t>KG</t>
  </si>
  <si>
    <t>O-13</t>
  </si>
  <si>
    <t>O-8, O-11</t>
  </si>
  <si>
    <t>74035-C1730</t>
  </si>
  <si>
    <t>Cometa 30/2 40 12000 SO</t>
  </si>
  <si>
    <t>ZCN</t>
  </si>
  <si>
    <t>O-16</t>
  </si>
  <si>
    <t>20290-BLACK</t>
  </si>
  <si>
    <t>Star 10T270 16OZ BO</t>
  </si>
  <si>
    <t>28220-C9631</t>
  </si>
  <si>
    <t>Astra       50 40 6000 SO</t>
  </si>
  <si>
    <t>NB265-WHITE</t>
  </si>
  <si>
    <t>Nymo     Belbobs  D    45  250YD    BO25</t>
  </si>
  <si>
    <t>ZBX</t>
  </si>
  <si>
    <t>28220-C7930</t>
  </si>
  <si>
    <t>28220-C3873</t>
  </si>
  <si>
    <t>20570-C9710</t>
  </si>
  <si>
    <t>Gramax 222 TEX 35 C16 SO</t>
  </si>
  <si>
    <t>O-12, O-13</t>
  </si>
  <si>
    <t>58590-WHITE</t>
  </si>
  <si>
    <t>Star 20T135 16OZ BO</t>
  </si>
  <si>
    <t>18250-WHITE</t>
  </si>
  <si>
    <t>Star        30T90  16OZ    TUBE CFN</t>
  </si>
  <si>
    <t>18250-BLACK</t>
  </si>
  <si>
    <t>O-15</t>
  </si>
  <si>
    <t>90505-C8952</t>
  </si>
  <si>
    <t>DUAL DUTY 60/36 TEX 40 6000 SO</t>
  </si>
  <si>
    <t>90685-C9967</t>
  </si>
  <si>
    <t>EPIC 50 TEX 40 6000 SO</t>
  </si>
  <si>
    <t>08160-C8125</t>
  </si>
  <si>
    <t>ASTRA 30 TEX 60 6000 SO</t>
  </si>
  <si>
    <t>A6260-C1730</t>
  </si>
  <si>
    <t>Cometa T-60 60 8400 SO</t>
  </si>
  <si>
    <t>32670-BLACK</t>
  </si>
  <si>
    <t>Star        14T210 16OZ    TUBE CFN</t>
  </si>
  <si>
    <t>90741-C1730</t>
  </si>
  <si>
    <t>EPIC T-80 TEX 80 6000 SO</t>
  </si>
  <si>
    <t>85210-PM27X</t>
  </si>
  <si>
    <t>Gramax 200 24 C 16 SO</t>
  </si>
  <si>
    <t>90685-C9948</t>
  </si>
  <si>
    <t>90735-C7311</t>
  </si>
  <si>
    <t>EPIC T-60 TEX 60 6000 SO</t>
  </si>
  <si>
    <t>O-18</t>
  </si>
  <si>
    <t>28600-ZCBLD</t>
  </si>
  <si>
    <t>Ultra Dee   20T135 32OZ    TUBE CFP</t>
  </si>
  <si>
    <t>A6260-C2376</t>
  </si>
  <si>
    <t>90685-C9653</t>
  </si>
  <si>
    <t>NB120-WHITE</t>
  </si>
  <si>
    <t>Nymo     Belbobs  O    24  400YD    BO4C</t>
  </si>
  <si>
    <t>90632-C9631</t>
  </si>
  <si>
    <t>DUAL DUTY T-60 TEX 60 6000 RD</t>
  </si>
  <si>
    <t>90667-C1730</t>
  </si>
  <si>
    <t>EPICT-30306000SO</t>
  </si>
  <si>
    <t>90685-C1730</t>
  </si>
  <si>
    <t>08160-C9760</t>
  </si>
  <si>
    <t>19280-40520</t>
  </si>
  <si>
    <t>Nylbond     45T70  16OZ    TUBE CFN</t>
  </si>
  <si>
    <t>O-17</t>
  </si>
  <si>
    <t>90632-C9760</t>
  </si>
  <si>
    <t>28220-C7311</t>
  </si>
  <si>
    <t>90685-C3873</t>
  </si>
  <si>
    <t>09580-C8668</t>
  </si>
  <si>
    <t>EPIC T-105 105 6000 SO</t>
  </si>
  <si>
    <t>09580-C9666</t>
  </si>
  <si>
    <t>O-19</t>
  </si>
  <si>
    <t>90635-C2340</t>
  </si>
  <si>
    <t>DUAL DUTY T-80 80 6000 YD RD</t>
  </si>
  <si>
    <t>78043-BLACK</t>
  </si>
  <si>
    <t>Gral     XL       14   210 16OZ     SO</t>
  </si>
  <si>
    <t>90685-C4983</t>
  </si>
  <si>
    <t>90685-C5363</t>
  </si>
  <si>
    <t>O-20</t>
  </si>
  <si>
    <t>90653-PM27X</t>
  </si>
  <si>
    <t>EPIC 100 24 6000 SO</t>
  </si>
  <si>
    <t>90685-C7311</t>
  </si>
  <si>
    <t>A6260-C8125</t>
  </si>
  <si>
    <t>NB100-SBCLH</t>
  </si>
  <si>
    <t>Nymo     Belbobs  B    30  350YD    BO35</t>
  </si>
  <si>
    <t>90632-C8918</t>
  </si>
  <si>
    <t>74897-C1730</t>
  </si>
  <si>
    <t>Gramax            80   35  16OZ       CO</t>
  </si>
  <si>
    <t>39510-S901</t>
  </si>
  <si>
    <t>Dabond 9T350 16OZ BO</t>
  </si>
  <si>
    <t>90685-C8114</t>
  </si>
  <si>
    <t>90735-C5798</t>
  </si>
  <si>
    <t>A6260-C9199</t>
  </si>
  <si>
    <t>A6260-C9760</t>
  </si>
  <si>
    <t>90653-C1489</t>
  </si>
  <si>
    <t>90653-C7580</t>
  </si>
  <si>
    <t>90653-C8955</t>
  </si>
  <si>
    <t>90653-C9122</t>
  </si>
  <si>
    <t>90653-C9666</t>
  </si>
  <si>
    <t>90685-C8668</t>
  </si>
  <si>
    <t>90653-C8668</t>
  </si>
  <si>
    <t>47760-1694</t>
  </si>
  <si>
    <t>Star 40T70 16OZ BO</t>
  </si>
  <si>
    <t>90685-C8986</t>
  </si>
  <si>
    <t>07200-BLACK</t>
  </si>
  <si>
    <t>Star 14T210 32OZ BO</t>
  </si>
  <si>
    <t>74157-WHITE</t>
  </si>
  <si>
    <t>Bonded Nylon      21   135 16OZ</t>
  </si>
  <si>
    <t>90653-C1123</t>
  </si>
  <si>
    <t>90653-C8133</t>
  </si>
  <si>
    <t>90653-C9394</t>
  </si>
  <si>
    <t>O-21</t>
  </si>
  <si>
    <t>83230-C9710</t>
  </si>
  <si>
    <t>Gramax 223 50 C 16 SO</t>
  </si>
  <si>
    <t>O-22</t>
  </si>
  <si>
    <t>38040-8052</t>
  </si>
  <si>
    <t>Tristar 40T70 16OZ IB</t>
  </si>
  <si>
    <t>90632-C8501</t>
  </si>
  <si>
    <t>90735-C6958</t>
  </si>
  <si>
    <t>O-1</t>
  </si>
  <si>
    <t>26960-WHITE</t>
  </si>
  <si>
    <t>Star 45T70 32OZ BO</t>
  </si>
  <si>
    <t>38770-ZCSBL</t>
  </si>
  <si>
    <t>Dabond AWF 35T90 16OZ BW</t>
  </si>
  <si>
    <t>ZTU</t>
  </si>
  <si>
    <t>28680-BLACK</t>
  </si>
  <si>
    <t>Star        65T45  16OZ    TUBE CFN</t>
  </si>
  <si>
    <t>28680-35123</t>
  </si>
  <si>
    <t>NB265-SBCLH</t>
  </si>
  <si>
    <t>O-2</t>
  </si>
  <si>
    <t>O-3</t>
  </si>
  <si>
    <t>28680-107</t>
  </si>
  <si>
    <t>85210-C9923</t>
  </si>
  <si>
    <t>15367-57QSZ</t>
  </si>
  <si>
    <t>Firefly 75T40 6000YD SO</t>
  </si>
  <si>
    <t>20570-C7330</t>
  </si>
  <si>
    <t>20570-C9631</t>
  </si>
  <si>
    <t>28680-S802</t>
  </si>
  <si>
    <t>18100-1412</t>
  </si>
  <si>
    <t>Ultra Dee   30T90  1035YD  TUBE CFP</t>
  </si>
  <si>
    <t>O-4</t>
  </si>
  <si>
    <t>ES081-C3785</t>
  </si>
  <si>
    <t>Coats EcoVerde Seamsoft80T35 5000M</t>
  </si>
  <si>
    <t>90653-C8167</t>
  </si>
  <si>
    <t>90677-WHITE</t>
  </si>
  <si>
    <t>Ultimax 50T60 18000YD SO</t>
  </si>
  <si>
    <t>19930-ZCSBL</t>
  </si>
  <si>
    <t>Nylbond     20T135 16OZ    TUBE CFN</t>
  </si>
  <si>
    <t>12052-WHITE</t>
  </si>
  <si>
    <t>Ultra Dee   14T210 32OZ    TUBE CFP</t>
  </si>
  <si>
    <t>21290-WHT</t>
  </si>
  <si>
    <t>Nylbond     7T400  32OZ    TUBE CFN</t>
  </si>
  <si>
    <t>O-5</t>
  </si>
  <si>
    <t>28680-16186</t>
  </si>
  <si>
    <t>A6730-C9628</t>
  </si>
  <si>
    <t>Cometa T-27 27 6000 SO</t>
  </si>
  <si>
    <t>A6730-C3332</t>
  </si>
  <si>
    <t>A6730-C9309</t>
  </si>
  <si>
    <t>A6730-C1730</t>
  </si>
  <si>
    <t>08160-C1730</t>
  </si>
  <si>
    <t>O-6</t>
  </si>
  <si>
    <t>18250-33787</t>
  </si>
  <si>
    <t>12049-ZCBLD</t>
  </si>
  <si>
    <t>Ultra Dee 14T210 16OZ BO</t>
  </si>
  <si>
    <t>90685-C7396</t>
  </si>
  <si>
    <t>90653-C7980</t>
  </si>
  <si>
    <t>63020-S0042</t>
  </si>
  <si>
    <t>90653-C7929</t>
  </si>
  <si>
    <t>11940-ZCBLD</t>
  </si>
  <si>
    <t>Ultra Dee   20T135 16OZ    TUBE CFP</t>
  </si>
  <si>
    <t>20570-C7930</t>
  </si>
  <si>
    <t>90632-C2340</t>
  </si>
  <si>
    <t>90685-C3719</t>
  </si>
  <si>
    <t>90685-C3924</t>
  </si>
  <si>
    <t>O-7</t>
  </si>
  <si>
    <t>90735-C1730</t>
  </si>
  <si>
    <t>20290-028SA</t>
  </si>
  <si>
    <t>00250-C1730</t>
  </si>
  <si>
    <t>ASTRA 70 TEX 27 6000 SO</t>
  </si>
  <si>
    <t>ab</t>
  </si>
  <si>
    <t>COATS MEXICO</t>
  </si>
  <si>
    <t>Material</t>
  </si>
  <si>
    <t>Description</t>
  </si>
  <si>
    <t>Invoiced Qty</t>
  </si>
  <si>
    <t>SAP Order</t>
  </si>
  <si>
    <t>PO number</t>
  </si>
  <si>
    <t>Prenumbered Inv</t>
  </si>
  <si>
    <t>Invoice</t>
  </si>
  <si>
    <t>Billing date</t>
  </si>
  <si>
    <t>Unit price</t>
  </si>
  <si>
    <t>Valor neto</t>
  </si>
  <si>
    <t>Mon.</t>
  </si>
  <si>
    <t>Peso en libras</t>
  </si>
  <si>
    <t>ORIGEN</t>
  </si>
  <si>
    <t>Camb Contab</t>
  </si>
  <si>
    <t>Doc.mode</t>
  </si>
  <si>
    <t>Peso en kilos</t>
  </si>
  <si>
    <t>Cajas</t>
  </si>
  <si>
    <t>Medidas</t>
  </si>
  <si>
    <t>Peso  bruto</t>
  </si>
  <si>
    <t>Conos</t>
  </si>
  <si>
    <t>182509-88UST</t>
  </si>
  <si>
    <t>STAR 90</t>
  </si>
  <si>
    <t>Muestras</t>
  </si>
  <si>
    <t>SAMPLE</t>
  </si>
  <si>
    <t>MEX</t>
  </si>
  <si>
    <t>30*15*11</t>
  </si>
  <si>
    <t>85210-14STL</t>
  </si>
  <si>
    <t>TIGER 24</t>
  </si>
  <si>
    <t>30*15*13</t>
  </si>
  <si>
    <t>90653-14STL</t>
  </si>
  <si>
    <t>EPIC 24</t>
  </si>
  <si>
    <t>85210-85STG</t>
  </si>
  <si>
    <t>90653-85STG</t>
  </si>
  <si>
    <t>85210-38VTN</t>
  </si>
  <si>
    <t>90653-38VTN</t>
  </si>
  <si>
    <t>85210-761TJ</t>
  </si>
  <si>
    <t>90653-761TJ</t>
  </si>
  <si>
    <t>P-4</t>
  </si>
  <si>
    <t>O-14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</si>
</sst>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_ ;[Red]\-#,##0.000\ "/>
  </numFmts>
  <fonts count="36"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b/>
      <sz val="5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59"/>
      <color rgb="FF0000FF"/>
      <name val="Coats Logo"/>
      <charset val="2"/>
    </font>
    <font>
      <sz val="8"/>
      <name val="Tahoma"/>
      <family val="2"/>
    </font>
    <font>
      <sz val="8"/>
      <color rgb="FF0000FF"/>
      <name val="Tahoma"/>
      <family val="2"/>
    </font>
    <font>
      <b/>
      <sz val="8"/>
      <name val="Tahoma"/>
      <family val="2"/>
    </font>
    <font>
      <b/>
      <sz val="8"/>
      <color theme="0"/>
      <name val="Tahoma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name val="Tahoma"/>
      <family val="2"/>
    </font>
    <font>
      <sz val="14"/>
      <name val="Arial"/>
      <family val="2"/>
    </font>
    <font>
      <sz val="10"/>
      <name val="Tahoma"/>
      <family val="2"/>
    </font>
    <font>
      <b/>
      <sz val="10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5" fillId="0" borderId="0"/>
    <xf numFmtId="0" fontId="5" fillId="0" borderId="0"/>
    <xf numFmtId="0" fontId="6" fillId="0" borderId="0"/>
    <xf numFmtId="0" fontId="8" fillId="0" borderId="0"/>
    <xf numFmtId="0" fontId="10" fillId="0" borderId="0" applyNumberFormat="0" applyBorder="0" applyProtection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2" fillId="0" borderId="0"/>
    <xf numFmtId="0" fontId="23" fillId="0" borderId="0"/>
    <xf numFmtId="0" fontId="24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6" fontId="0" fillId="0" borderId="0" xfId="0" applyNumberForma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7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66" fontId="9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 vertical="top"/>
    </xf>
    <xf numFmtId="0" fontId="25" fillId="5" borderId="0" xfId="1" applyFont="1" applyFill="1" applyAlignment="1">
      <alignment horizontal="center"/>
    </xf>
    <xf numFmtId="0" fontId="26" fillId="5" borderId="0" xfId="1" applyFont="1" applyFill="1" applyAlignment="1">
      <alignment horizontal="center"/>
    </xf>
    <xf numFmtId="0" fontId="27" fillId="5" borderId="0" xfId="1" applyFont="1" applyFill="1" applyAlignment="1">
      <alignment horizontal="center"/>
    </xf>
    <xf numFmtId="0" fontId="26" fillId="5" borderId="0" xfId="1" applyFont="1" applyFill="1" applyAlignment="1">
      <alignment horizontal="center" vertical="center" wrapText="1"/>
    </xf>
    <xf numFmtId="0" fontId="28" fillId="5" borderId="0" xfId="1" applyFont="1" applyFill="1"/>
    <xf numFmtId="0" fontId="29" fillId="2" borderId="0" xfId="1" applyFont="1" applyFill="1" applyAlignment="1">
      <alignment horizontal="center"/>
    </xf>
    <xf numFmtId="0" fontId="29" fillId="6" borderId="0" xfId="1" applyFont="1" applyFill="1" applyAlignment="1">
      <alignment horizontal="center"/>
    </xf>
    <xf numFmtId="2" fontId="29" fillId="2" borderId="0" xfId="1" applyNumberFormat="1" applyFont="1" applyFill="1" applyAlignment="1">
      <alignment horizontal="center"/>
    </xf>
    <xf numFmtId="2" fontId="29" fillId="2" borderId="0" xfId="1" applyNumberFormat="1" applyFont="1" applyFill="1" applyAlignment="1">
      <alignment horizontal="center" vertical="center" wrapText="1"/>
    </xf>
    <xf numFmtId="0" fontId="30" fillId="5" borderId="0" xfId="1" applyFont="1" applyFill="1" applyAlignment="1">
      <alignment horizontal="center" vertical="center"/>
    </xf>
    <xf numFmtId="0" fontId="31" fillId="5" borderId="0" xfId="1" applyFont="1" applyFill="1" applyAlignment="1">
      <alignment horizontal="center"/>
    </xf>
    <xf numFmtId="14" fontId="31" fillId="5" borderId="0" xfId="1" applyNumberFormat="1" applyFont="1" applyFill="1" applyAlignment="1">
      <alignment horizontal="center"/>
    </xf>
    <xf numFmtId="0" fontId="30" fillId="7" borderId="0" xfId="1" applyFont="1" applyFill="1" applyAlignment="1">
      <alignment horizontal="center" vertical="center"/>
    </xf>
    <xf numFmtId="0" fontId="32" fillId="5" borderId="0" xfId="1" applyFont="1" applyFill="1" applyAlignment="1">
      <alignment horizontal="center"/>
    </xf>
    <xf numFmtId="0" fontId="33" fillId="5" borderId="0" xfId="1" applyFont="1" applyFill="1" applyAlignment="1">
      <alignment horizontal="center"/>
    </xf>
    <xf numFmtId="0" fontId="33" fillId="7" borderId="0" xfId="1" applyFont="1" applyFill="1" applyAlignment="1">
      <alignment horizontal="center"/>
    </xf>
    <xf numFmtId="0" fontId="34" fillId="8" borderId="0" xfId="1" applyFont="1" applyFill="1" applyAlignment="1">
      <alignment horizontal="center"/>
    </xf>
    <xf numFmtId="0" fontId="35" fillId="2" borderId="0" xfId="1" applyFont="1" applyFill="1" applyAlignment="1">
      <alignment horizontal="center" vertical="center"/>
    </xf>
    <xf numFmtId="0" fontId="0" fillId="9" borderId="0" xfId="0" applyFill="1" applyAlignment="1">
      <alignment horizontal="center" vertical="top"/>
    </xf>
    <xf numFmtId="165" fontId="0" fillId="9" borderId="0" xfId="0" applyNumberFormat="1" applyFill="1" applyAlignment="1">
      <alignment horizontal="center" vertical="top"/>
    </xf>
    <xf numFmtId="14" fontId="0" fillId="9" borderId="0" xfId="0" applyNumberForma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6" fillId="5" borderId="0" xfId="1" applyFont="1" applyFill="1" applyAlignment="1">
      <alignment horizontal="center"/>
    </xf>
    <xf numFmtId="2" fontId="29" fillId="2" borderId="0" xfId="1" applyNumberFormat="1" applyFont="1" applyFill="1" applyAlignment="1">
      <alignment horizontal="center" vertical="center" wrapText="1"/>
    </xf>
  </cellXfs>
  <cellStyles count="19">
    <cellStyle name="Normal" xfId="0" builtinId="0"/>
    <cellStyle name="Normal 10" xfId="10" xr:uid="{CB3D8CA9-E4A1-4ECF-80DA-895C63B46BC5}"/>
    <cellStyle name="Normal 11" xfId="11" xr:uid="{2F7B4320-4A4D-4519-B51C-115B4BB572C3}"/>
    <cellStyle name="Normal 12" xfId="12" xr:uid="{6B48240A-F08A-4692-A93F-CFA65DE84015}"/>
    <cellStyle name="Normal 13" xfId="13" xr:uid="{D5245701-75DB-4BC4-898C-78D5DE78E846}"/>
    <cellStyle name="Normal 14" xfId="14" xr:uid="{50B1A9C4-3E6E-43A8-A2D5-1D0E3BD0E569}"/>
    <cellStyle name="Normal 15" xfId="15" xr:uid="{6B3981D5-39A3-440E-8A20-B740B2A8A966}"/>
    <cellStyle name="Normal 16" xfId="16" xr:uid="{0A6EB027-2C81-48C4-B17D-34ACA01A347B}"/>
    <cellStyle name="Normal 17" xfId="17" xr:uid="{C623E302-4F5F-44CF-A073-5C07531456E8}"/>
    <cellStyle name="Normal 18" xfId="18" xr:uid="{1F5C66FC-8C97-4E8C-860B-4115F506C3CF}"/>
    <cellStyle name="Normal 2" xfId="1" xr:uid="{66F1E5D5-CAA2-4B9F-B725-81A51662BE91}"/>
    <cellStyle name="Normal 2 2" xfId="5" xr:uid="{ED367BE0-0926-4B35-B2BF-B85470A1CD37}"/>
    <cellStyle name="Normal 3" xfId="2" xr:uid="{038293BE-AAAD-4A49-A5B8-6C78B6EDA45A}"/>
    <cellStyle name="Normal 4" xfId="3" xr:uid="{BA87431D-717D-4C41-9AC4-BBC9D09BE05F}"/>
    <cellStyle name="Normal 5" xfId="4" xr:uid="{41F81AEF-EB70-40EA-92A9-1456A7891D3A}"/>
    <cellStyle name="Normal 6" xfId="6" xr:uid="{47E451A1-6809-44E0-BF39-212D2B5305B1}"/>
    <cellStyle name="Normal 7" xfId="7" xr:uid="{0F8E382A-535F-46A0-8E76-B6C4C1D80C43}"/>
    <cellStyle name="Normal 8" xfId="8" xr:uid="{A03B3870-6F80-48D2-9030-E6A494B9779D}"/>
    <cellStyle name="Normal 9" xfId="9" xr:uid="{7A88932C-FFDC-4664-9B9E-C7B24B5D1C09}"/>
  </cellStyles>
  <dxfs count="0"/>
  <tableStyles count="0" defaultTableStyle="TableStyleMedium2" defaultPivotStyle="PivotStyleLight16"/>
  <colors>
    <mruColors>
      <color rgb="FFFF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</xdr:row>
      <xdr:rowOff>212725</xdr:rowOff>
    </xdr:from>
    <xdr:to>
      <xdr:col>13</xdr:col>
      <xdr:colOff>838161</xdr:colOff>
      <xdr:row>1</xdr:row>
      <xdr:rowOff>790575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D18A9A96-713D-402A-BDDD-BF63D1BDD2D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75050" y="339725"/>
          <a:ext cx="8204161" cy="577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Magneto" pitchFamily="82" charset="0"/>
            </a:rPr>
            <a:t>KOMAR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2019300</xdr:colOff>
      <xdr:row>1</xdr:row>
      <xdr:rowOff>212725</xdr:rowOff>
    </xdr:from>
    <xdr:to>
      <xdr:col>14</xdr:col>
      <xdr:colOff>838161</xdr:colOff>
      <xdr:row>1</xdr:row>
      <xdr:rowOff>790575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DF2382A3-D60E-4CF2-9CEC-CE4F45392A3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75050" y="339725"/>
          <a:ext cx="8204161" cy="577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Magneto" pitchFamily="82" charset="0"/>
            </a:rPr>
            <a:t>KOMAR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ticia Ines Salado Rivera" id="{1D8FB4CF-3E2C-4412-BA39-3A138B7DE304}" userId="S::LeticiaInes.SaladoRivera@coats.com::09c76f7c-9ee8-4d0c-842f-fa917c86a7f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4-21T00:16:19.30" personId="{1D8FB4CF-3E2C-4412-BA39-3A138B7DE304}" id="{09BBE9CC-79C3-4CC9-A21A-B12E2BB7E894}">
    <text xml:space="preserve">Pallet #8 with 44 box, 1386 cones
Pallet #9 with 44 box 1382 cones
Pallet #10 with 44 box 1374 cones
Pallet #11 with 26 box 826 cones </text>
  </threadedComment>
  <threadedComment ref="A17" dT="2026-04-21T00:04:36.47" personId="{1D8FB4CF-3E2C-4412-BA39-3A138B7DE304}" id="{B7226F83-77AB-430D-A890-951A079A0E35}">
    <text>Pallet #12 with 16 box = 457.217 lb
Pallet #13 with 6 box = 222.783 lb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B5E5-9765-43DE-B78E-A4E1AF211777}">
  <dimension ref="A1:K125"/>
  <sheetViews>
    <sheetView tabSelected="1" zoomScale="90" zoomScaleNormal="90" workbookViewId="0">
      <selection activeCell="L8" sqref="L1:P1048576"/>
    </sheetView>
  </sheetViews>
  <sheetFormatPr defaultColWidth="11.42578125" defaultRowHeight="15"/>
  <cols>
    <col min="1" max="1" width="11.85546875" style="12" bestFit="1" customWidth="1"/>
    <col min="2" max="2" width="13.85546875" bestFit="1" customWidth="1"/>
    <col min="3" max="3" width="35.42578125" style="20" bestFit="1" customWidth="1"/>
    <col min="4" max="4" width="17" bestFit="1" customWidth="1"/>
    <col min="5" max="5" width="8.140625" bestFit="1" customWidth="1"/>
    <col min="6" max="6" width="15.140625" bestFit="1" customWidth="1"/>
    <col min="7" max="7" width="22" bestFit="1" customWidth="1"/>
    <col min="8" max="8" width="12.140625" bestFit="1" customWidth="1"/>
    <col min="9" max="9" width="16.5703125" bestFit="1" customWidth="1"/>
    <col min="10" max="10" width="11.140625" bestFit="1" customWidth="1"/>
    <col min="11" max="11" width="16.7109375" bestFit="1" customWidth="1"/>
  </cols>
  <sheetData>
    <row r="1" spans="1:11" ht="1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1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ht="1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1" ht="1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ht="1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</row>
    <row r="8" spans="1:11" ht="17.45" customHeight="1">
      <c r="A8" s="1"/>
      <c r="B8" s="1"/>
      <c r="C8" s="18"/>
      <c r="D8" s="7">
        <f>+SUBTOTAL(9,D10:D1048576)</f>
        <v>17634.256999999998</v>
      </c>
      <c r="E8" s="5"/>
      <c r="F8" s="5"/>
      <c r="G8" s="5"/>
      <c r="H8" s="5"/>
      <c r="I8" s="5"/>
      <c r="J8" s="5"/>
      <c r="K8" s="5"/>
    </row>
    <row r="9" spans="1:11">
      <c r="A9" s="4" t="s">
        <v>1</v>
      </c>
      <c r="B9" s="4" t="s">
        <v>2</v>
      </c>
      <c r="C9" s="19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11</v>
      </c>
    </row>
    <row r="10" spans="1:11">
      <c r="A10" s="41" t="s">
        <v>24</v>
      </c>
      <c r="B10" s="41" t="s">
        <v>25</v>
      </c>
      <c r="C10" s="41" t="s">
        <v>26</v>
      </c>
      <c r="D10" s="42">
        <v>4968</v>
      </c>
      <c r="E10" s="41" t="s">
        <v>27</v>
      </c>
      <c r="F10" s="41">
        <v>2676491</v>
      </c>
      <c r="G10" s="41">
        <v>6069667</v>
      </c>
      <c r="H10" s="41">
        <v>6011143679</v>
      </c>
      <c r="I10" s="43">
        <v>46126</v>
      </c>
      <c r="J10" s="41" t="s">
        <v>13</v>
      </c>
      <c r="K10" s="41">
        <v>1001956657</v>
      </c>
    </row>
    <row r="11" spans="1:11">
      <c r="A11" s="14" t="s">
        <v>28</v>
      </c>
      <c r="B11" s="14" t="s">
        <v>29</v>
      </c>
      <c r="C11" s="14" t="s">
        <v>30</v>
      </c>
      <c r="D11" s="15">
        <v>12</v>
      </c>
      <c r="E11" s="14" t="s">
        <v>12</v>
      </c>
      <c r="F11" s="14">
        <v>2686112</v>
      </c>
      <c r="G11" s="14">
        <v>6070052</v>
      </c>
      <c r="H11" s="14">
        <v>6011143683</v>
      </c>
      <c r="I11" s="16">
        <v>46126</v>
      </c>
      <c r="J11" s="14" t="s">
        <v>13</v>
      </c>
      <c r="K11" s="14">
        <v>1001956661</v>
      </c>
    </row>
    <row r="12" spans="1:11">
      <c r="A12" s="14" t="s">
        <v>28</v>
      </c>
      <c r="B12" s="14" t="s">
        <v>31</v>
      </c>
      <c r="C12" s="14" t="s">
        <v>32</v>
      </c>
      <c r="D12" s="15">
        <v>17</v>
      </c>
      <c r="E12" s="14" t="s">
        <v>27</v>
      </c>
      <c r="F12" s="14">
        <v>2681335</v>
      </c>
      <c r="G12" s="14">
        <v>6069893</v>
      </c>
      <c r="H12" s="14">
        <v>6011143684</v>
      </c>
      <c r="I12" s="16">
        <v>46126</v>
      </c>
      <c r="J12" s="14" t="s">
        <v>13</v>
      </c>
      <c r="K12" s="14">
        <v>1001956668</v>
      </c>
    </row>
    <row r="13" spans="1:11">
      <c r="A13" s="14" t="s">
        <v>28</v>
      </c>
      <c r="B13" s="14" t="s">
        <v>33</v>
      </c>
      <c r="C13" s="14" t="s">
        <v>34</v>
      </c>
      <c r="D13" s="15">
        <v>12</v>
      </c>
      <c r="E13" s="14" t="s">
        <v>35</v>
      </c>
      <c r="F13" s="14">
        <v>2686615</v>
      </c>
      <c r="G13" s="14">
        <v>6070082</v>
      </c>
      <c r="H13" s="14">
        <v>6011143685</v>
      </c>
      <c r="I13" s="16">
        <v>46126</v>
      </c>
      <c r="J13" s="14" t="s">
        <v>13</v>
      </c>
      <c r="K13" s="14">
        <v>1001956676</v>
      </c>
    </row>
    <row r="14" spans="1:11">
      <c r="A14" s="14" t="s">
        <v>28</v>
      </c>
      <c r="B14" s="14" t="s">
        <v>36</v>
      </c>
      <c r="C14" s="14" t="s">
        <v>32</v>
      </c>
      <c r="D14" s="15">
        <v>75</v>
      </c>
      <c r="E14" s="14" t="s">
        <v>27</v>
      </c>
      <c r="F14" s="14">
        <v>2685115</v>
      </c>
      <c r="G14" s="14">
        <v>6069993</v>
      </c>
      <c r="H14" s="14">
        <v>6011143686</v>
      </c>
      <c r="I14" s="16">
        <v>46126</v>
      </c>
      <c r="J14" s="14" t="s">
        <v>13</v>
      </c>
      <c r="K14" s="14">
        <v>1001956669</v>
      </c>
    </row>
    <row r="15" spans="1:11">
      <c r="A15" s="14" t="s">
        <v>28</v>
      </c>
      <c r="B15" s="14" t="s">
        <v>37</v>
      </c>
      <c r="C15" s="14" t="s">
        <v>32</v>
      </c>
      <c r="D15" s="15">
        <v>50</v>
      </c>
      <c r="E15" s="14" t="s">
        <v>27</v>
      </c>
      <c r="F15" s="14">
        <v>2679652</v>
      </c>
      <c r="G15" s="14">
        <v>6069820</v>
      </c>
      <c r="H15" s="14">
        <v>6011143687</v>
      </c>
      <c r="I15" s="16">
        <v>46126</v>
      </c>
      <c r="J15" s="14" t="s">
        <v>13</v>
      </c>
      <c r="K15" s="14">
        <v>1001956666</v>
      </c>
    </row>
    <row r="16" spans="1:11">
      <c r="A16" s="14" t="s">
        <v>28</v>
      </c>
      <c r="B16" s="14" t="s">
        <v>38</v>
      </c>
      <c r="C16" s="14" t="s">
        <v>39</v>
      </c>
      <c r="D16" s="15">
        <v>117</v>
      </c>
      <c r="E16" s="14" t="s">
        <v>12</v>
      </c>
      <c r="F16" s="14">
        <v>2687090</v>
      </c>
      <c r="G16" s="14">
        <v>6070105</v>
      </c>
      <c r="H16" s="14">
        <v>6011143688</v>
      </c>
      <c r="I16" s="16">
        <v>46126</v>
      </c>
      <c r="J16" s="14" t="s">
        <v>13</v>
      </c>
      <c r="K16" s="14">
        <v>1001956675</v>
      </c>
    </row>
    <row r="17" spans="1:11">
      <c r="A17" s="41" t="s">
        <v>40</v>
      </c>
      <c r="B17" s="41" t="s">
        <v>41</v>
      </c>
      <c r="C17" s="41" t="s">
        <v>42</v>
      </c>
      <c r="D17" s="42">
        <v>680</v>
      </c>
      <c r="E17" s="41" t="s">
        <v>12</v>
      </c>
      <c r="F17" s="41">
        <v>2686538</v>
      </c>
      <c r="G17" s="41">
        <v>6070083</v>
      </c>
      <c r="H17" s="41">
        <v>6011143696</v>
      </c>
      <c r="I17" s="43">
        <v>46126</v>
      </c>
      <c r="J17" s="41" t="s">
        <v>13</v>
      </c>
      <c r="K17" s="41">
        <v>1001956662</v>
      </c>
    </row>
    <row r="18" spans="1:11">
      <c r="A18" s="14" t="s">
        <v>23</v>
      </c>
      <c r="B18" s="14" t="s">
        <v>43</v>
      </c>
      <c r="C18" s="14" t="s">
        <v>44</v>
      </c>
      <c r="D18" s="15">
        <v>282</v>
      </c>
      <c r="E18" s="14" t="s">
        <v>12</v>
      </c>
      <c r="F18" s="14">
        <v>2686538</v>
      </c>
      <c r="G18" s="14">
        <v>6070083</v>
      </c>
      <c r="H18" s="14">
        <v>6011143699</v>
      </c>
      <c r="I18" s="16">
        <v>46126</v>
      </c>
      <c r="J18" s="14" t="s">
        <v>13</v>
      </c>
      <c r="K18" s="14">
        <v>1001956667</v>
      </c>
    </row>
    <row r="19" spans="1:11">
      <c r="A19" s="41" t="s">
        <v>46</v>
      </c>
      <c r="B19" s="41" t="s">
        <v>45</v>
      </c>
      <c r="C19" s="41" t="s">
        <v>44</v>
      </c>
      <c r="D19" s="42">
        <v>1003.2859999999999</v>
      </c>
      <c r="E19" s="41" t="s">
        <v>12</v>
      </c>
      <c r="F19" s="41">
        <v>2671249</v>
      </c>
      <c r="G19" s="41">
        <v>6069427</v>
      </c>
      <c r="H19" s="41">
        <v>6011143701</v>
      </c>
      <c r="I19" s="43">
        <v>46126</v>
      </c>
      <c r="J19" s="41" t="s">
        <v>13</v>
      </c>
      <c r="K19" s="41">
        <v>1001956663</v>
      </c>
    </row>
    <row r="20" spans="1:11">
      <c r="A20" s="41" t="s">
        <v>234</v>
      </c>
      <c r="B20" s="41" t="s">
        <v>43</v>
      </c>
      <c r="C20" s="41" t="s">
        <v>44</v>
      </c>
      <c r="D20" s="42">
        <v>326</v>
      </c>
      <c r="E20" s="41" t="s">
        <v>12</v>
      </c>
      <c r="F20" s="41">
        <v>2671249</v>
      </c>
      <c r="G20" s="41">
        <v>6069427</v>
      </c>
      <c r="H20" s="41">
        <v>6011143701</v>
      </c>
      <c r="I20" s="43">
        <v>46126</v>
      </c>
      <c r="J20" s="41" t="s">
        <v>13</v>
      </c>
      <c r="K20" s="41">
        <v>1001956663</v>
      </c>
    </row>
    <row r="21" spans="1:11">
      <c r="A21" s="14" t="s">
        <v>46</v>
      </c>
      <c r="B21" s="14" t="s">
        <v>47</v>
      </c>
      <c r="C21" s="14" t="s">
        <v>48</v>
      </c>
      <c r="D21" s="15">
        <v>7</v>
      </c>
      <c r="E21" s="14" t="s">
        <v>27</v>
      </c>
      <c r="F21" s="14">
        <v>2685307</v>
      </c>
      <c r="G21" s="14">
        <v>6070007</v>
      </c>
      <c r="H21" s="14">
        <v>6011143705</v>
      </c>
      <c r="I21" s="16">
        <v>46126</v>
      </c>
      <c r="J21" s="14" t="s">
        <v>13</v>
      </c>
      <c r="K21" s="14">
        <v>1001956656</v>
      </c>
    </row>
    <row r="22" spans="1:11">
      <c r="A22" s="14" t="s">
        <v>46</v>
      </c>
      <c r="B22" s="14" t="s">
        <v>49</v>
      </c>
      <c r="C22" s="14" t="s">
        <v>50</v>
      </c>
      <c r="D22" s="15">
        <v>46</v>
      </c>
      <c r="E22" s="14" t="s">
        <v>27</v>
      </c>
      <c r="F22" s="14">
        <v>2685307</v>
      </c>
      <c r="G22" s="14">
        <v>6070007</v>
      </c>
      <c r="H22" s="14">
        <v>6011143705</v>
      </c>
      <c r="I22" s="16">
        <v>46126</v>
      </c>
      <c r="J22" s="14" t="s">
        <v>13</v>
      </c>
      <c r="K22" s="14">
        <v>1001956656</v>
      </c>
    </row>
    <row r="23" spans="1:11">
      <c r="A23" s="14" t="s">
        <v>28</v>
      </c>
      <c r="B23" s="14" t="s">
        <v>51</v>
      </c>
      <c r="C23" s="14" t="s">
        <v>52</v>
      </c>
      <c r="D23" s="15">
        <v>160</v>
      </c>
      <c r="E23" s="14" t="s">
        <v>27</v>
      </c>
      <c r="F23" s="14">
        <v>2685509</v>
      </c>
      <c r="G23" s="14">
        <v>6070038</v>
      </c>
      <c r="H23" s="14">
        <v>6011143706</v>
      </c>
      <c r="I23" s="16">
        <v>46126</v>
      </c>
      <c r="J23" s="14" t="s">
        <v>13</v>
      </c>
      <c r="K23" s="14">
        <v>1001956678</v>
      </c>
    </row>
    <row r="24" spans="1:11">
      <c r="A24" s="14" t="s">
        <v>28</v>
      </c>
      <c r="B24" s="14" t="s">
        <v>53</v>
      </c>
      <c r="C24" s="14" t="s">
        <v>54</v>
      </c>
      <c r="D24" s="15">
        <v>32</v>
      </c>
      <c r="E24" s="14" t="s">
        <v>27</v>
      </c>
      <c r="F24" s="14">
        <v>2685509</v>
      </c>
      <c r="G24" s="14">
        <v>6070038</v>
      </c>
      <c r="H24" s="14">
        <v>6011143706</v>
      </c>
      <c r="I24" s="16">
        <v>46126</v>
      </c>
      <c r="J24" s="14" t="s">
        <v>13</v>
      </c>
      <c r="K24" s="14">
        <v>1001956678</v>
      </c>
    </row>
    <row r="25" spans="1:11">
      <c r="A25" s="14" t="s">
        <v>28</v>
      </c>
      <c r="B25" s="14" t="s">
        <v>55</v>
      </c>
      <c r="C25" s="14" t="s">
        <v>56</v>
      </c>
      <c r="D25" s="15">
        <v>85.423000000000002</v>
      </c>
      <c r="E25" s="14" t="s">
        <v>12</v>
      </c>
      <c r="F25" s="14">
        <v>2686067</v>
      </c>
      <c r="G25" s="14">
        <v>6070053</v>
      </c>
      <c r="H25" s="14">
        <v>6011143707</v>
      </c>
      <c r="I25" s="16">
        <v>46126</v>
      </c>
      <c r="J25" s="14" t="s">
        <v>13</v>
      </c>
      <c r="K25" s="14">
        <v>1001956679</v>
      </c>
    </row>
    <row r="26" spans="1:11">
      <c r="A26" s="14" t="s">
        <v>28</v>
      </c>
      <c r="B26" s="14" t="s">
        <v>57</v>
      </c>
      <c r="C26" s="14" t="s">
        <v>58</v>
      </c>
      <c r="D26" s="15">
        <v>64</v>
      </c>
      <c r="E26" s="14" t="s">
        <v>27</v>
      </c>
      <c r="F26" s="14">
        <v>2686067</v>
      </c>
      <c r="G26" s="14">
        <v>6070053</v>
      </c>
      <c r="H26" s="14">
        <v>6011143707</v>
      </c>
      <c r="I26" s="16">
        <v>46126</v>
      </c>
      <c r="J26" s="14" t="s">
        <v>13</v>
      </c>
      <c r="K26" s="14">
        <v>1001956679</v>
      </c>
    </row>
    <row r="27" spans="1:11">
      <c r="A27" s="14" t="s">
        <v>28</v>
      </c>
      <c r="B27" s="14" t="s">
        <v>59</v>
      </c>
      <c r="C27" s="14" t="s">
        <v>60</v>
      </c>
      <c r="D27" s="15">
        <v>7</v>
      </c>
      <c r="E27" s="14" t="s">
        <v>12</v>
      </c>
      <c r="F27" s="14">
        <v>2686615</v>
      </c>
      <c r="G27" s="14">
        <v>6070082</v>
      </c>
      <c r="H27" s="14">
        <v>6011143709</v>
      </c>
      <c r="I27" s="16">
        <v>46126</v>
      </c>
      <c r="J27" s="14" t="s">
        <v>13</v>
      </c>
      <c r="K27" s="14">
        <v>1001956670</v>
      </c>
    </row>
    <row r="28" spans="1:11">
      <c r="A28" s="14" t="s">
        <v>28</v>
      </c>
      <c r="B28" s="14" t="s">
        <v>61</v>
      </c>
      <c r="C28" s="14" t="s">
        <v>50</v>
      </c>
      <c r="D28" s="15">
        <v>10</v>
      </c>
      <c r="E28" s="14" t="s">
        <v>27</v>
      </c>
      <c r="F28" s="14">
        <v>2686615</v>
      </c>
      <c r="G28" s="14">
        <v>6070082</v>
      </c>
      <c r="H28" s="14">
        <v>6011143709</v>
      </c>
      <c r="I28" s="16">
        <v>46126</v>
      </c>
      <c r="J28" s="14" t="s">
        <v>13</v>
      </c>
      <c r="K28" s="14">
        <v>1001956670</v>
      </c>
    </row>
    <row r="29" spans="1:11">
      <c r="A29" s="14" t="s">
        <v>28</v>
      </c>
      <c r="B29" s="14" t="s">
        <v>62</v>
      </c>
      <c r="C29" s="14" t="s">
        <v>63</v>
      </c>
      <c r="D29" s="15">
        <v>192</v>
      </c>
      <c r="E29" s="14" t="s">
        <v>27</v>
      </c>
      <c r="F29" s="14">
        <v>2686615</v>
      </c>
      <c r="G29" s="14">
        <v>6070082</v>
      </c>
      <c r="H29" s="14">
        <v>6011143709</v>
      </c>
      <c r="I29" s="16">
        <v>46126</v>
      </c>
      <c r="J29" s="14" t="s">
        <v>13</v>
      </c>
      <c r="K29" s="14">
        <v>1001956670</v>
      </c>
    </row>
    <row r="30" spans="1:11">
      <c r="A30" s="14" t="s">
        <v>64</v>
      </c>
      <c r="B30" s="14" t="s">
        <v>65</v>
      </c>
      <c r="C30" s="14" t="s">
        <v>66</v>
      </c>
      <c r="D30" s="15">
        <v>54.22</v>
      </c>
      <c r="E30" s="14" t="s">
        <v>12</v>
      </c>
      <c r="F30" s="14">
        <v>2686222</v>
      </c>
      <c r="G30" s="14">
        <v>6070060</v>
      </c>
      <c r="H30" s="14">
        <v>6011143730</v>
      </c>
      <c r="I30" s="16">
        <v>46127</v>
      </c>
      <c r="J30" s="14" t="s">
        <v>13</v>
      </c>
      <c r="K30" s="14">
        <v>1001956765</v>
      </c>
    </row>
    <row r="31" spans="1:11">
      <c r="A31" s="14" t="s">
        <v>64</v>
      </c>
      <c r="B31" s="14" t="s">
        <v>67</v>
      </c>
      <c r="C31" s="14" t="s">
        <v>54</v>
      </c>
      <c r="D31" s="15">
        <v>6</v>
      </c>
      <c r="E31" s="14" t="s">
        <v>27</v>
      </c>
      <c r="F31" s="14">
        <v>2686222</v>
      </c>
      <c r="G31" s="14">
        <v>6070060</v>
      </c>
      <c r="H31" s="14">
        <v>6011143730</v>
      </c>
      <c r="I31" s="16">
        <v>46127</v>
      </c>
      <c r="J31" s="14" t="s">
        <v>13</v>
      </c>
      <c r="K31" s="14">
        <v>1001956765</v>
      </c>
    </row>
    <row r="32" spans="1:11">
      <c r="A32" s="14" t="s">
        <v>64</v>
      </c>
      <c r="B32" s="14" t="s">
        <v>68</v>
      </c>
      <c r="C32" s="14" t="s">
        <v>50</v>
      </c>
      <c r="D32" s="15">
        <v>50</v>
      </c>
      <c r="E32" s="14" t="s">
        <v>27</v>
      </c>
      <c r="F32" s="14">
        <v>2685320</v>
      </c>
      <c r="G32" s="14">
        <v>6070008</v>
      </c>
      <c r="H32" s="14">
        <v>6011143731</v>
      </c>
      <c r="I32" s="16">
        <v>46127</v>
      </c>
      <c r="J32" s="14" t="s">
        <v>13</v>
      </c>
      <c r="K32" s="14">
        <v>1001956763</v>
      </c>
    </row>
    <row r="33" spans="1:11">
      <c r="A33" s="14" t="s">
        <v>64</v>
      </c>
      <c r="B33" s="14" t="s">
        <v>69</v>
      </c>
      <c r="C33" s="14" t="s">
        <v>70</v>
      </c>
      <c r="D33" s="15">
        <v>24</v>
      </c>
      <c r="E33" s="14" t="s">
        <v>35</v>
      </c>
      <c r="F33" s="14">
        <v>2654121</v>
      </c>
      <c r="G33" s="14">
        <v>6068707</v>
      </c>
      <c r="H33" s="14">
        <v>6011143732</v>
      </c>
      <c r="I33" s="16">
        <v>46127</v>
      </c>
      <c r="J33" s="14" t="s">
        <v>13</v>
      </c>
      <c r="K33" s="14">
        <v>1001956760</v>
      </c>
    </row>
    <row r="34" spans="1:11">
      <c r="A34" s="14" t="s">
        <v>64</v>
      </c>
      <c r="B34" s="14" t="s">
        <v>71</v>
      </c>
      <c r="C34" s="14" t="s">
        <v>72</v>
      </c>
      <c r="D34" s="15">
        <v>6</v>
      </c>
      <c r="E34" s="14" t="s">
        <v>27</v>
      </c>
      <c r="F34" s="14">
        <v>2684508</v>
      </c>
      <c r="G34" s="14">
        <v>6069954</v>
      </c>
      <c r="H34" s="14">
        <v>6011143733</v>
      </c>
      <c r="I34" s="16">
        <v>46127</v>
      </c>
      <c r="J34" s="14" t="s">
        <v>13</v>
      </c>
      <c r="K34" s="14">
        <v>1001956767</v>
      </c>
    </row>
    <row r="35" spans="1:11">
      <c r="A35" s="14" t="s">
        <v>64</v>
      </c>
      <c r="B35" s="14" t="s">
        <v>73</v>
      </c>
      <c r="C35" s="14" t="s">
        <v>74</v>
      </c>
      <c r="D35" s="15">
        <v>50</v>
      </c>
      <c r="E35" s="14" t="s">
        <v>27</v>
      </c>
      <c r="F35" s="14">
        <v>2687759</v>
      </c>
      <c r="G35" s="14">
        <v>6070128</v>
      </c>
      <c r="H35" s="14">
        <v>6011143739</v>
      </c>
      <c r="I35" s="16">
        <v>46127</v>
      </c>
      <c r="J35" s="14" t="s">
        <v>13</v>
      </c>
      <c r="K35" s="14">
        <v>1001956769</v>
      </c>
    </row>
    <row r="36" spans="1:11">
      <c r="A36" s="14" t="s">
        <v>64</v>
      </c>
      <c r="B36" s="14" t="s">
        <v>75</v>
      </c>
      <c r="C36" s="14" t="s">
        <v>50</v>
      </c>
      <c r="D36" s="15">
        <v>350</v>
      </c>
      <c r="E36" s="14" t="s">
        <v>27</v>
      </c>
      <c r="F36" s="14">
        <v>2687759</v>
      </c>
      <c r="G36" s="14">
        <v>6070128</v>
      </c>
      <c r="H36" s="14">
        <v>6011143739</v>
      </c>
      <c r="I36" s="16">
        <v>46127</v>
      </c>
      <c r="J36" s="14" t="s">
        <v>13</v>
      </c>
      <c r="K36" s="14">
        <v>1001956769</v>
      </c>
    </row>
    <row r="37" spans="1:11">
      <c r="A37" s="14" t="s">
        <v>64</v>
      </c>
      <c r="B37" s="14" t="s">
        <v>76</v>
      </c>
      <c r="C37" s="14" t="s">
        <v>52</v>
      </c>
      <c r="D37" s="15">
        <v>261</v>
      </c>
      <c r="E37" s="14" t="s">
        <v>27</v>
      </c>
      <c r="F37" s="14">
        <v>2686538</v>
      </c>
      <c r="G37" s="14">
        <v>6070083</v>
      </c>
      <c r="H37" s="14">
        <v>6011143742</v>
      </c>
      <c r="I37" s="16">
        <v>46127</v>
      </c>
      <c r="J37" s="14" t="s">
        <v>13</v>
      </c>
      <c r="K37" s="14">
        <v>1001956766</v>
      </c>
    </row>
    <row r="38" spans="1:11">
      <c r="A38" s="14" t="s">
        <v>28</v>
      </c>
      <c r="B38" s="14" t="s">
        <v>77</v>
      </c>
      <c r="C38" s="14" t="s">
        <v>78</v>
      </c>
      <c r="D38" s="15">
        <v>22</v>
      </c>
      <c r="E38" s="14" t="s">
        <v>12</v>
      </c>
      <c r="F38" s="14">
        <v>2686222</v>
      </c>
      <c r="G38" s="14">
        <v>6070060</v>
      </c>
      <c r="H38" s="14">
        <v>6011143786</v>
      </c>
      <c r="I38" s="16">
        <v>46127</v>
      </c>
      <c r="J38" s="14" t="s">
        <v>13</v>
      </c>
      <c r="K38" s="14">
        <v>1001956673</v>
      </c>
    </row>
    <row r="39" spans="1:11">
      <c r="A39" s="14" t="s">
        <v>79</v>
      </c>
      <c r="B39" s="14" t="s">
        <v>80</v>
      </c>
      <c r="C39" s="14" t="s">
        <v>72</v>
      </c>
      <c r="D39" s="15">
        <v>113</v>
      </c>
      <c r="E39" s="14" t="s">
        <v>27</v>
      </c>
      <c r="F39" s="14">
        <v>2685508</v>
      </c>
      <c r="G39" s="14">
        <v>6070039</v>
      </c>
      <c r="H39" s="14">
        <v>6011143790</v>
      </c>
      <c r="I39" s="16">
        <v>46127</v>
      </c>
      <c r="J39" s="14" t="s">
        <v>13</v>
      </c>
      <c r="K39" s="14">
        <v>1001956677</v>
      </c>
    </row>
    <row r="40" spans="1:11">
      <c r="A40" s="14" t="s">
        <v>79</v>
      </c>
      <c r="B40" s="14" t="s">
        <v>81</v>
      </c>
      <c r="C40" s="14" t="s">
        <v>32</v>
      </c>
      <c r="D40" s="15">
        <v>200</v>
      </c>
      <c r="E40" s="14" t="s">
        <v>27</v>
      </c>
      <c r="F40" s="14">
        <v>2685489</v>
      </c>
      <c r="G40" s="14">
        <v>6070025</v>
      </c>
      <c r="H40" s="14">
        <v>6011143791</v>
      </c>
      <c r="I40" s="16">
        <v>46127</v>
      </c>
      <c r="J40" s="14" t="s">
        <v>13</v>
      </c>
      <c r="K40" s="14">
        <v>1001956672</v>
      </c>
    </row>
    <row r="41" spans="1:11">
      <c r="A41" s="14" t="s">
        <v>79</v>
      </c>
      <c r="B41" s="14" t="s">
        <v>82</v>
      </c>
      <c r="C41" s="14" t="s">
        <v>50</v>
      </c>
      <c r="D41" s="15">
        <v>50</v>
      </c>
      <c r="E41" s="14" t="s">
        <v>27</v>
      </c>
      <c r="F41" s="14">
        <v>2677570</v>
      </c>
      <c r="G41" s="14">
        <v>6069728</v>
      </c>
      <c r="H41" s="14">
        <v>6011143792</v>
      </c>
      <c r="I41" s="16">
        <v>46127</v>
      </c>
      <c r="J41" s="14" t="s">
        <v>13</v>
      </c>
      <c r="K41" s="14">
        <v>1001956664</v>
      </c>
    </row>
    <row r="42" spans="1:11">
      <c r="A42" s="14" t="s">
        <v>79</v>
      </c>
      <c r="B42" s="14" t="s">
        <v>83</v>
      </c>
      <c r="C42" s="14" t="s">
        <v>84</v>
      </c>
      <c r="D42" s="15">
        <v>22</v>
      </c>
      <c r="E42" s="14" t="s">
        <v>27</v>
      </c>
      <c r="F42" s="14">
        <v>2686112</v>
      </c>
      <c r="G42" s="14">
        <v>6070052</v>
      </c>
      <c r="H42" s="14">
        <v>6011143793</v>
      </c>
      <c r="I42" s="16">
        <v>46127</v>
      </c>
      <c r="J42" s="14" t="s">
        <v>13</v>
      </c>
      <c r="K42" s="14">
        <v>1001956671</v>
      </c>
    </row>
    <row r="43" spans="1:11">
      <c r="A43" s="14" t="s">
        <v>79</v>
      </c>
      <c r="B43" s="14" t="s">
        <v>85</v>
      </c>
      <c r="C43" s="14" t="s">
        <v>84</v>
      </c>
      <c r="D43" s="15">
        <v>7</v>
      </c>
      <c r="E43" s="14" t="s">
        <v>27</v>
      </c>
      <c r="F43" s="14">
        <v>2686112</v>
      </c>
      <c r="G43" s="14">
        <v>6070052</v>
      </c>
      <c r="H43" s="14">
        <v>6011143793</v>
      </c>
      <c r="I43" s="16">
        <v>46127</v>
      </c>
      <c r="J43" s="14" t="s">
        <v>13</v>
      </c>
      <c r="K43" s="14">
        <v>1001956671</v>
      </c>
    </row>
    <row r="44" spans="1:11">
      <c r="A44" s="14" t="s">
        <v>79</v>
      </c>
      <c r="B44" s="14" t="s">
        <v>37</v>
      </c>
      <c r="C44" s="14" t="s">
        <v>32</v>
      </c>
      <c r="D44" s="15">
        <v>50</v>
      </c>
      <c r="E44" s="14" t="s">
        <v>27</v>
      </c>
      <c r="F44" s="14">
        <v>2678571</v>
      </c>
      <c r="G44" s="14">
        <v>6069777</v>
      </c>
      <c r="H44" s="14">
        <v>6011143794</v>
      </c>
      <c r="I44" s="16">
        <v>46127</v>
      </c>
      <c r="J44" s="14" t="s">
        <v>13</v>
      </c>
      <c r="K44" s="14">
        <v>1001956665</v>
      </c>
    </row>
    <row r="45" spans="1:11">
      <c r="A45" s="14" t="s">
        <v>79</v>
      </c>
      <c r="B45" s="14" t="s">
        <v>36</v>
      </c>
      <c r="C45" s="14" t="s">
        <v>32</v>
      </c>
      <c r="D45" s="15">
        <v>50</v>
      </c>
      <c r="E45" s="14" t="s">
        <v>27</v>
      </c>
      <c r="F45" s="14">
        <v>2678571</v>
      </c>
      <c r="G45" s="14">
        <v>6069777</v>
      </c>
      <c r="H45" s="14">
        <v>6011143794</v>
      </c>
      <c r="I45" s="16">
        <v>46127</v>
      </c>
      <c r="J45" s="14" t="s">
        <v>13</v>
      </c>
      <c r="K45" s="14">
        <v>1001956665</v>
      </c>
    </row>
    <row r="46" spans="1:11">
      <c r="A46" s="14" t="s">
        <v>86</v>
      </c>
      <c r="B46" s="14" t="s">
        <v>25</v>
      </c>
      <c r="C46" s="14" t="s">
        <v>26</v>
      </c>
      <c r="D46" s="15">
        <v>375</v>
      </c>
      <c r="E46" s="14" t="s">
        <v>27</v>
      </c>
      <c r="F46" s="14">
        <v>2676491</v>
      </c>
      <c r="G46" s="14">
        <v>6069667</v>
      </c>
      <c r="H46" s="14">
        <v>6011143796</v>
      </c>
      <c r="I46" s="16">
        <v>46128</v>
      </c>
      <c r="J46" s="14" t="s">
        <v>13</v>
      </c>
      <c r="K46" s="14">
        <v>1001956863</v>
      </c>
    </row>
    <row r="47" spans="1:11">
      <c r="A47" s="14" t="s">
        <v>86</v>
      </c>
      <c r="B47" s="14" t="s">
        <v>87</v>
      </c>
      <c r="C47" s="14" t="s">
        <v>88</v>
      </c>
      <c r="D47" s="15">
        <v>161</v>
      </c>
      <c r="E47" s="14" t="s">
        <v>27</v>
      </c>
      <c r="F47" s="14">
        <v>2683873</v>
      </c>
      <c r="G47" s="14">
        <v>6069933</v>
      </c>
      <c r="H47" s="14">
        <v>6011143797</v>
      </c>
      <c r="I47" s="16">
        <v>46128</v>
      </c>
      <c r="J47" s="14" t="s">
        <v>13</v>
      </c>
      <c r="K47" s="14">
        <v>1001956853</v>
      </c>
    </row>
    <row r="48" spans="1:11">
      <c r="A48" s="14" t="s">
        <v>64</v>
      </c>
      <c r="B48" s="14" t="s">
        <v>89</v>
      </c>
      <c r="C48" s="14" t="s">
        <v>90</v>
      </c>
      <c r="D48" s="15">
        <v>302.11599999999999</v>
      </c>
      <c r="E48" s="14" t="s">
        <v>12</v>
      </c>
      <c r="F48" s="14">
        <v>2685307</v>
      </c>
      <c r="G48" s="14">
        <v>6070007</v>
      </c>
      <c r="H48" s="14">
        <v>6011143800</v>
      </c>
      <c r="I48" s="16">
        <v>46128</v>
      </c>
      <c r="J48" s="14" t="s">
        <v>13</v>
      </c>
      <c r="K48" s="14">
        <v>1001956855</v>
      </c>
    </row>
    <row r="49" spans="1:11">
      <c r="A49" s="14" t="s">
        <v>86</v>
      </c>
      <c r="B49" s="14" t="s">
        <v>91</v>
      </c>
      <c r="C49" s="14" t="s">
        <v>50</v>
      </c>
      <c r="D49" s="15">
        <v>29</v>
      </c>
      <c r="E49" s="14" t="s">
        <v>27</v>
      </c>
      <c r="F49" s="14">
        <v>2685320</v>
      </c>
      <c r="G49" s="14">
        <v>6070008</v>
      </c>
      <c r="H49" s="14">
        <v>6011143801</v>
      </c>
      <c r="I49" s="16">
        <v>46128</v>
      </c>
      <c r="J49" s="14" t="s">
        <v>13</v>
      </c>
      <c r="K49" s="14">
        <v>1001956854</v>
      </c>
    </row>
    <row r="50" spans="1:11">
      <c r="A50" s="14" t="s">
        <v>86</v>
      </c>
      <c r="B50" s="14" t="s">
        <v>92</v>
      </c>
      <c r="C50" s="14" t="s">
        <v>50</v>
      </c>
      <c r="D50" s="15">
        <v>25</v>
      </c>
      <c r="E50" s="14" t="s">
        <v>27</v>
      </c>
      <c r="F50" s="14">
        <v>2685320</v>
      </c>
      <c r="G50" s="14">
        <v>6070008</v>
      </c>
      <c r="H50" s="14">
        <v>6011143801</v>
      </c>
      <c r="I50" s="16">
        <v>46128</v>
      </c>
      <c r="J50" s="14" t="s">
        <v>13</v>
      </c>
      <c r="K50" s="14">
        <v>1001956854</v>
      </c>
    </row>
    <row r="51" spans="1:11">
      <c r="A51" s="14" t="s">
        <v>93</v>
      </c>
      <c r="B51" s="14" t="s">
        <v>94</v>
      </c>
      <c r="C51" s="14" t="s">
        <v>95</v>
      </c>
      <c r="D51" s="15">
        <v>14</v>
      </c>
      <c r="E51" s="14" t="s">
        <v>27</v>
      </c>
      <c r="F51" s="14">
        <v>2686615</v>
      </c>
      <c r="G51" s="14">
        <v>6070082</v>
      </c>
      <c r="H51" s="14">
        <v>6011143802</v>
      </c>
      <c r="I51" s="16">
        <v>46128</v>
      </c>
      <c r="J51" s="14" t="s">
        <v>13</v>
      </c>
      <c r="K51" s="14">
        <v>1001956861</v>
      </c>
    </row>
    <row r="52" spans="1:11">
      <c r="A52" s="14" t="s">
        <v>93</v>
      </c>
      <c r="B52" s="14" t="s">
        <v>96</v>
      </c>
      <c r="C52" s="14" t="s">
        <v>50</v>
      </c>
      <c r="D52" s="15">
        <v>325</v>
      </c>
      <c r="E52" s="14" t="s">
        <v>27</v>
      </c>
      <c r="F52" s="14">
        <v>2686615</v>
      </c>
      <c r="G52" s="14">
        <v>6070082</v>
      </c>
      <c r="H52" s="14">
        <v>6011143802</v>
      </c>
      <c r="I52" s="16">
        <v>46128</v>
      </c>
      <c r="J52" s="14" t="s">
        <v>13</v>
      </c>
      <c r="K52" s="14">
        <v>1001956861</v>
      </c>
    </row>
    <row r="53" spans="1:11">
      <c r="A53" s="14" t="s">
        <v>93</v>
      </c>
      <c r="B53" s="14" t="s">
        <v>97</v>
      </c>
      <c r="C53" s="14" t="s">
        <v>54</v>
      </c>
      <c r="D53" s="15">
        <v>6</v>
      </c>
      <c r="E53" s="14" t="s">
        <v>27</v>
      </c>
      <c r="F53" s="14">
        <v>2685509</v>
      </c>
      <c r="G53" s="14">
        <v>6070038</v>
      </c>
      <c r="H53" s="14">
        <v>6011143803</v>
      </c>
      <c r="I53" s="16">
        <v>46128</v>
      </c>
      <c r="J53" s="14" t="s">
        <v>13</v>
      </c>
      <c r="K53" s="14">
        <v>1001956862</v>
      </c>
    </row>
    <row r="54" spans="1:11">
      <c r="A54" s="14" t="s">
        <v>93</v>
      </c>
      <c r="B54" s="14" t="s">
        <v>98</v>
      </c>
      <c r="C54" s="14" t="s">
        <v>99</v>
      </c>
      <c r="D54" s="15">
        <v>60</v>
      </c>
      <c r="E54" s="14" t="s">
        <v>35</v>
      </c>
      <c r="F54" s="14">
        <v>2687996</v>
      </c>
      <c r="G54" s="14">
        <v>6070115</v>
      </c>
      <c r="H54" s="14">
        <v>6011143804</v>
      </c>
      <c r="I54" s="16">
        <v>46128</v>
      </c>
      <c r="J54" s="14" t="s">
        <v>13</v>
      </c>
      <c r="K54" s="14">
        <v>1001956858</v>
      </c>
    </row>
    <row r="55" spans="1:11">
      <c r="A55" s="14" t="s">
        <v>93</v>
      </c>
      <c r="B55" s="14" t="s">
        <v>100</v>
      </c>
      <c r="C55" s="14" t="s">
        <v>72</v>
      </c>
      <c r="D55" s="15">
        <v>6</v>
      </c>
      <c r="E55" s="14" t="s">
        <v>27</v>
      </c>
      <c r="F55" s="14">
        <v>2684508</v>
      </c>
      <c r="G55" s="14">
        <v>6069954</v>
      </c>
      <c r="H55" s="14">
        <v>6011143805</v>
      </c>
      <c r="I55" s="16">
        <v>46128</v>
      </c>
      <c r="J55" s="14" t="s">
        <v>13</v>
      </c>
      <c r="K55" s="14">
        <v>1001956860</v>
      </c>
    </row>
    <row r="56" spans="1:11">
      <c r="A56" s="14" t="s">
        <v>93</v>
      </c>
      <c r="B56" s="14" t="s">
        <v>101</v>
      </c>
      <c r="C56" s="14" t="s">
        <v>102</v>
      </c>
      <c r="D56" s="15">
        <v>50</v>
      </c>
      <c r="E56" s="14" t="s">
        <v>12</v>
      </c>
      <c r="F56" s="14">
        <v>2687759</v>
      </c>
      <c r="G56" s="14">
        <v>6070128</v>
      </c>
      <c r="H56" s="14">
        <v>6011143806</v>
      </c>
      <c r="I56" s="16">
        <v>46128</v>
      </c>
      <c r="J56" s="14" t="s">
        <v>13</v>
      </c>
      <c r="K56" s="14">
        <v>1001956859</v>
      </c>
    </row>
    <row r="57" spans="1:11">
      <c r="A57" s="14" t="s">
        <v>93</v>
      </c>
      <c r="B57" s="14" t="s">
        <v>103</v>
      </c>
      <c r="C57" s="14" t="s">
        <v>104</v>
      </c>
      <c r="D57" s="15">
        <v>12.016999999999999</v>
      </c>
      <c r="E57" s="14" t="s">
        <v>12</v>
      </c>
      <c r="F57" s="14">
        <v>2671506</v>
      </c>
      <c r="G57" s="14">
        <v>6069426</v>
      </c>
      <c r="H57" s="14">
        <v>6011143807</v>
      </c>
      <c r="I57" s="16">
        <v>46128</v>
      </c>
      <c r="J57" s="14" t="s">
        <v>13</v>
      </c>
      <c r="K57" s="14">
        <v>1001956851</v>
      </c>
    </row>
    <row r="58" spans="1:11">
      <c r="A58" s="14" t="s">
        <v>86</v>
      </c>
      <c r="B58" s="14" t="s">
        <v>105</v>
      </c>
      <c r="C58" s="14" t="s">
        <v>50</v>
      </c>
      <c r="D58" s="15">
        <v>14</v>
      </c>
      <c r="E58" s="14" t="s">
        <v>27</v>
      </c>
      <c r="F58" s="14">
        <v>2686222</v>
      </c>
      <c r="G58" s="14">
        <v>6070060</v>
      </c>
      <c r="H58" s="14">
        <v>6011143808</v>
      </c>
      <c r="I58" s="16">
        <v>46128</v>
      </c>
      <c r="J58" s="14" t="s">
        <v>13</v>
      </c>
      <c r="K58" s="14">
        <v>1001956857</v>
      </c>
    </row>
    <row r="59" spans="1:11">
      <c r="A59" s="14" t="s">
        <v>86</v>
      </c>
      <c r="B59" s="14" t="s">
        <v>106</v>
      </c>
      <c r="C59" s="14" t="s">
        <v>63</v>
      </c>
      <c r="D59" s="15">
        <v>16</v>
      </c>
      <c r="E59" s="14" t="s">
        <v>27</v>
      </c>
      <c r="F59" s="14">
        <v>2686222</v>
      </c>
      <c r="G59" s="14">
        <v>6070060</v>
      </c>
      <c r="H59" s="14">
        <v>6011143808</v>
      </c>
      <c r="I59" s="16">
        <v>46128</v>
      </c>
      <c r="J59" s="14" t="s">
        <v>13</v>
      </c>
      <c r="K59" s="14">
        <v>1001956857</v>
      </c>
    </row>
    <row r="60" spans="1:11">
      <c r="A60" s="14" t="s">
        <v>86</v>
      </c>
      <c r="B60" s="14" t="s">
        <v>107</v>
      </c>
      <c r="C60" s="14" t="s">
        <v>54</v>
      </c>
      <c r="D60" s="15">
        <v>22</v>
      </c>
      <c r="E60" s="14" t="s">
        <v>27</v>
      </c>
      <c r="F60" s="14">
        <v>2686222</v>
      </c>
      <c r="G60" s="14">
        <v>6070060</v>
      </c>
      <c r="H60" s="14">
        <v>6011143808</v>
      </c>
      <c r="I60" s="16">
        <v>46128</v>
      </c>
      <c r="J60" s="14" t="s">
        <v>13</v>
      </c>
      <c r="K60" s="14">
        <v>1001956857</v>
      </c>
    </row>
    <row r="61" spans="1:11">
      <c r="A61" s="14" t="s">
        <v>86</v>
      </c>
      <c r="B61" s="14" t="s">
        <v>108</v>
      </c>
      <c r="C61" s="14" t="s">
        <v>54</v>
      </c>
      <c r="D61" s="15">
        <v>4</v>
      </c>
      <c r="E61" s="14" t="s">
        <v>27</v>
      </c>
      <c r="F61" s="14">
        <v>2686222</v>
      </c>
      <c r="G61" s="14">
        <v>6070060</v>
      </c>
      <c r="H61" s="14">
        <v>6011143808</v>
      </c>
      <c r="I61" s="16">
        <v>46128</v>
      </c>
      <c r="J61" s="14" t="s">
        <v>13</v>
      </c>
      <c r="K61" s="14">
        <v>1001956857</v>
      </c>
    </row>
    <row r="62" spans="1:11">
      <c r="A62" s="14" t="s">
        <v>86</v>
      </c>
      <c r="B62" s="14" t="s">
        <v>109</v>
      </c>
      <c r="C62" s="14" t="s">
        <v>95</v>
      </c>
      <c r="D62" s="15">
        <v>10</v>
      </c>
      <c r="E62" s="14" t="s">
        <v>27</v>
      </c>
      <c r="F62" s="14">
        <v>2686112</v>
      </c>
      <c r="G62" s="14">
        <v>6070052</v>
      </c>
      <c r="H62" s="14">
        <v>6011143809</v>
      </c>
      <c r="I62" s="16">
        <v>46128</v>
      </c>
      <c r="J62" s="14" t="s">
        <v>13</v>
      </c>
      <c r="K62" s="14">
        <v>1001956856</v>
      </c>
    </row>
    <row r="63" spans="1:11">
      <c r="A63" s="14" t="s">
        <v>86</v>
      </c>
      <c r="B63" s="14" t="s">
        <v>110</v>
      </c>
      <c r="C63" s="14" t="s">
        <v>95</v>
      </c>
      <c r="D63" s="15">
        <v>17</v>
      </c>
      <c r="E63" s="14" t="s">
        <v>27</v>
      </c>
      <c r="F63" s="14">
        <v>2686112</v>
      </c>
      <c r="G63" s="14">
        <v>6070052</v>
      </c>
      <c r="H63" s="14">
        <v>6011143809</v>
      </c>
      <c r="I63" s="16">
        <v>46128</v>
      </c>
      <c r="J63" s="14" t="s">
        <v>13</v>
      </c>
      <c r="K63" s="14">
        <v>1001956856</v>
      </c>
    </row>
    <row r="64" spans="1:11">
      <c r="A64" s="14" t="s">
        <v>86</v>
      </c>
      <c r="B64" s="14" t="s">
        <v>111</v>
      </c>
      <c r="C64" s="14" t="s">
        <v>95</v>
      </c>
      <c r="D64" s="15">
        <v>15</v>
      </c>
      <c r="E64" s="14" t="s">
        <v>27</v>
      </c>
      <c r="F64" s="14">
        <v>2686112</v>
      </c>
      <c r="G64" s="14">
        <v>6070052</v>
      </c>
      <c r="H64" s="14">
        <v>6011143809</v>
      </c>
      <c r="I64" s="16">
        <v>46128</v>
      </c>
      <c r="J64" s="14" t="s">
        <v>13</v>
      </c>
      <c r="K64" s="14">
        <v>1001956856</v>
      </c>
    </row>
    <row r="65" spans="1:11">
      <c r="A65" s="14" t="s">
        <v>86</v>
      </c>
      <c r="B65" s="14" t="s">
        <v>112</v>
      </c>
      <c r="C65" s="14" t="s">
        <v>95</v>
      </c>
      <c r="D65" s="15">
        <v>12</v>
      </c>
      <c r="E65" s="14" t="s">
        <v>27</v>
      </c>
      <c r="F65" s="14">
        <v>2686112</v>
      </c>
      <c r="G65" s="14">
        <v>6070052</v>
      </c>
      <c r="H65" s="14">
        <v>6011143809</v>
      </c>
      <c r="I65" s="16">
        <v>46128</v>
      </c>
      <c r="J65" s="14" t="s">
        <v>13</v>
      </c>
      <c r="K65" s="14">
        <v>1001956856</v>
      </c>
    </row>
    <row r="66" spans="1:11">
      <c r="A66" s="14" t="s">
        <v>86</v>
      </c>
      <c r="B66" s="14" t="s">
        <v>113</v>
      </c>
      <c r="C66" s="14" t="s">
        <v>95</v>
      </c>
      <c r="D66" s="15">
        <v>30</v>
      </c>
      <c r="E66" s="14" t="s">
        <v>27</v>
      </c>
      <c r="F66" s="14">
        <v>2686112</v>
      </c>
      <c r="G66" s="14">
        <v>6070052</v>
      </c>
      <c r="H66" s="14">
        <v>6011143809</v>
      </c>
      <c r="I66" s="16">
        <v>46128</v>
      </c>
      <c r="J66" s="14" t="s">
        <v>13</v>
      </c>
      <c r="K66" s="14">
        <v>1001956856</v>
      </c>
    </row>
    <row r="67" spans="1:11">
      <c r="A67" s="14" t="s">
        <v>86</v>
      </c>
      <c r="B67" s="14" t="s">
        <v>114</v>
      </c>
      <c r="C67" s="14" t="s">
        <v>50</v>
      </c>
      <c r="D67" s="15">
        <v>7</v>
      </c>
      <c r="E67" s="14" t="s">
        <v>27</v>
      </c>
      <c r="F67" s="14">
        <v>2686112</v>
      </c>
      <c r="G67" s="14">
        <v>6070052</v>
      </c>
      <c r="H67" s="14">
        <v>6011143809</v>
      </c>
      <c r="I67" s="16">
        <v>46128</v>
      </c>
      <c r="J67" s="14" t="s">
        <v>13</v>
      </c>
      <c r="K67" s="14">
        <v>1001956856</v>
      </c>
    </row>
    <row r="68" spans="1:11">
      <c r="A68" s="14" t="s">
        <v>93</v>
      </c>
      <c r="B68" s="14" t="s">
        <v>115</v>
      </c>
      <c r="C68" s="14" t="s">
        <v>95</v>
      </c>
      <c r="D68" s="15">
        <v>45</v>
      </c>
      <c r="E68" s="14" t="s">
        <v>27</v>
      </c>
      <c r="F68" s="14">
        <v>2686112</v>
      </c>
      <c r="G68" s="14">
        <v>6070052</v>
      </c>
      <c r="H68" s="14">
        <v>6011143837</v>
      </c>
      <c r="I68" s="16">
        <v>46128</v>
      </c>
      <c r="J68" s="14" t="s">
        <v>13</v>
      </c>
      <c r="K68" s="14">
        <v>1001956900</v>
      </c>
    </row>
    <row r="69" spans="1:11">
      <c r="A69" s="14" t="s">
        <v>93</v>
      </c>
      <c r="B69" s="14" t="s">
        <v>116</v>
      </c>
      <c r="C69" s="14" t="s">
        <v>117</v>
      </c>
      <c r="D69" s="15">
        <v>22.736999999999998</v>
      </c>
      <c r="E69" s="14" t="s">
        <v>12</v>
      </c>
      <c r="F69" s="14">
        <v>2686222</v>
      </c>
      <c r="G69" s="14">
        <v>6070060</v>
      </c>
      <c r="H69" s="14">
        <v>6011143838</v>
      </c>
      <c r="I69" s="16">
        <v>46128</v>
      </c>
      <c r="J69" s="14" t="s">
        <v>13</v>
      </c>
      <c r="K69" s="14">
        <v>1001956901</v>
      </c>
    </row>
    <row r="70" spans="1:11">
      <c r="A70" s="14" t="s">
        <v>93</v>
      </c>
      <c r="B70" s="14" t="s">
        <v>118</v>
      </c>
      <c r="C70" s="14" t="s">
        <v>50</v>
      </c>
      <c r="D70" s="15">
        <v>5</v>
      </c>
      <c r="E70" s="14" t="s">
        <v>27</v>
      </c>
      <c r="F70" s="14">
        <v>2686222</v>
      </c>
      <c r="G70" s="14">
        <v>6070060</v>
      </c>
      <c r="H70" s="14">
        <v>6011143838</v>
      </c>
      <c r="I70" s="16">
        <v>46128</v>
      </c>
      <c r="J70" s="14" t="s">
        <v>13</v>
      </c>
      <c r="K70" s="14">
        <v>1001956901</v>
      </c>
    </row>
    <row r="71" spans="1:11">
      <c r="A71" s="14" t="s">
        <v>93</v>
      </c>
      <c r="B71" s="14" t="s">
        <v>119</v>
      </c>
      <c r="C71" s="14" t="s">
        <v>120</v>
      </c>
      <c r="D71" s="15">
        <v>152.63900000000001</v>
      </c>
      <c r="E71" s="14" t="s">
        <v>12</v>
      </c>
      <c r="F71" s="14">
        <v>2675476</v>
      </c>
      <c r="G71" s="14">
        <v>6069630</v>
      </c>
      <c r="H71" s="14">
        <v>6011143839</v>
      </c>
      <c r="I71" s="16">
        <v>46128</v>
      </c>
      <c r="J71" s="14" t="s">
        <v>13</v>
      </c>
      <c r="K71" s="14">
        <v>1001956899</v>
      </c>
    </row>
    <row r="72" spans="1:11">
      <c r="A72" s="14" t="s">
        <v>93</v>
      </c>
      <c r="B72" s="14" t="s">
        <v>121</v>
      </c>
      <c r="C72" s="14" t="s">
        <v>122</v>
      </c>
      <c r="D72" s="15">
        <v>79.352000000000004</v>
      </c>
      <c r="E72" s="14" t="s">
        <v>12</v>
      </c>
      <c r="F72" s="14">
        <v>2679955</v>
      </c>
      <c r="G72" s="14">
        <v>6069841</v>
      </c>
      <c r="H72" s="14">
        <v>6011143840</v>
      </c>
      <c r="I72" s="16">
        <v>46128</v>
      </c>
      <c r="J72" s="14" t="s">
        <v>13</v>
      </c>
      <c r="K72" s="14">
        <v>1001956902</v>
      </c>
    </row>
    <row r="73" spans="1:11">
      <c r="A73" s="14" t="s">
        <v>64</v>
      </c>
      <c r="B73" s="14" t="s">
        <v>123</v>
      </c>
      <c r="C73" s="14" t="s">
        <v>95</v>
      </c>
      <c r="D73" s="15">
        <v>30</v>
      </c>
      <c r="E73" s="14" t="s">
        <v>27</v>
      </c>
      <c r="F73" s="14">
        <v>2686112</v>
      </c>
      <c r="G73" s="14">
        <v>6070052</v>
      </c>
      <c r="H73" s="14">
        <v>6011143851</v>
      </c>
      <c r="I73" s="16">
        <v>46128</v>
      </c>
      <c r="J73" s="14" t="s">
        <v>13</v>
      </c>
      <c r="K73" s="14">
        <v>1001956764</v>
      </c>
    </row>
    <row r="74" spans="1:11">
      <c r="A74" s="14" t="s">
        <v>64</v>
      </c>
      <c r="B74" s="14" t="s">
        <v>124</v>
      </c>
      <c r="C74" s="14" t="s">
        <v>95</v>
      </c>
      <c r="D74" s="15">
        <v>10</v>
      </c>
      <c r="E74" s="14" t="s">
        <v>27</v>
      </c>
      <c r="F74" s="14">
        <v>2686112</v>
      </c>
      <c r="G74" s="14">
        <v>6070052</v>
      </c>
      <c r="H74" s="14">
        <v>6011143851</v>
      </c>
      <c r="I74" s="16">
        <v>46128</v>
      </c>
      <c r="J74" s="14" t="s">
        <v>13</v>
      </c>
      <c r="K74" s="14">
        <v>1001956764</v>
      </c>
    </row>
    <row r="75" spans="1:11">
      <c r="A75" s="14" t="s">
        <v>64</v>
      </c>
      <c r="B75" s="14" t="s">
        <v>125</v>
      </c>
      <c r="C75" s="14" t="s">
        <v>95</v>
      </c>
      <c r="D75" s="15">
        <v>15</v>
      </c>
      <c r="E75" s="14" t="s">
        <v>27</v>
      </c>
      <c r="F75" s="14">
        <v>2686112</v>
      </c>
      <c r="G75" s="14">
        <v>6070052</v>
      </c>
      <c r="H75" s="14">
        <v>6011143851</v>
      </c>
      <c r="I75" s="16">
        <v>46128</v>
      </c>
      <c r="J75" s="14" t="s">
        <v>13</v>
      </c>
      <c r="K75" s="14">
        <v>1001956764</v>
      </c>
    </row>
    <row r="76" spans="1:11">
      <c r="A76" s="14" t="s">
        <v>126</v>
      </c>
      <c r="B76" s="14" t="s">
        <v>127</v>
      </c>
      <c r="C76" s="14" t="s">
        <v>128</v>
      </c>
      <c r="D76" s="15">
        <v>486.88</v>
      </c>
      <c r="E76" s="14" t="s">
        <v>12</v>
      </c>
      <c r="F76" s="14">
        <v>2678267</v>
      </c>
      <c r="G76" s="14">
        <v>6069766</v>
      </c>
      <c r="H76" s="14">
        <v>6011143858</v>
      </c>
      <c r="I76" s="16">
        <v>46128</v>
      </c>
      <c r="J76" s="14" t="s">
        <v>13</v>
      </c>
      <c r="K76" s="14">
        <v>1001956930</v>
      </c>
    </row>
    <row r="77" spans="1:11">
      <c r="A77" s="14" t="s">
        <v>129</v>
      </c>
      <c r="B77" s="14" t="s">
        <v>130</v>
      </c>
      <c r="C77" s="14" t="s">
        <v>131</v>
      </c>
      <c r="D77" s="15">
        <v>22</v>
      </c>
      <c r="E77" s="14" t="s">
        <v>12</v>
      </c>
      <c r="F77" s="14">
        <v>2686615</v>
      </c>
      <c r="G77" s="14">
        <v>6070082</v>
      </c>
      <c r="H77" s="14">
        <v>6011143879</v>
      </c>
      <c r="I77" s="16">
        <v>46128</v>
      </c>
      <c r="J77" s="14" t="s">
        <v>13</v>
      </c>
      <c r="K77" s="14">
        <v>1001956941</v>
      </c>
    </row>
    <row r="78" spans="1:11">
      <c r="A78" s="14" t="s">
        <v>129</v>
      </c>
      <c r="B78" s="14" t="s">
        <v>25</v>
      </c>
      <c r="C78" s="14" t="s">
        <v>26</v>
      </c>
      <c r="D78" s="15">
        <v>33</v>
      </c>
      <c r="E78" s="14" t="s">
        <v>27</v>
      </c>
      <c r="F78" s="14">
        <v>2676491</v>
      </c>
      <c r="G78" s="14">
        <v>6069667</v>
      </c>
      <c r="H78" s="14">
        <v>6011143903</v>
      </c>
      <c r="I78" s="16">
        <v>46129</v>
      </c>
      <c r="J78" s="14" t="s">
        <v>13</v>
      </c>
      <c r="K78" s="14">
        <v>1001956974</v>
      </c>
    </row>
    <row r="79" spans="1:11">
      <c r="A79" s="14" t="s">
        <v>129</v>
      </c>
      <c r="B79" s="14" t="s">
        <v>132</v>
      </c>
      <c r="C79" s="14" t="s">
        <v>72</v>
      </c>
      <c r="D79" s="15">
        <v>64</v>
      </c>
      <c r="E79" s="14" t="s">
        <v>27</v>
      </c>
      <c r="F79" s="14">
        <v>2683873</v>
      </c>
      <c r="G79" s="14">
        <v>6069933</v>
      </c>
      <c r="H79" s="14">
        <v>6011143904</v>
      </c>
      <c r="I79" s="16">
        <v>46129</v>
      </c>
      <c r="J79" s="14" t="s">
        <v>13</v>
      </c>
      <c r="K79" s="14">
        <v>1001956975</v>
      </c>
    </row>
    <row r="80" spans="1:11">
      <c r="A80" s="14" t="s">
        <v>129</v>
      </c>
      <c r="B80" s="14" t="s">
        <v>133</v>
      </c>
      <c r="C80" s="14" t="s">
        <v>63</v>
      </c>
      <c r="D80" s="15">
        <v>16</v>
      </c>
      <c r="E80" s="14" t="s">
        <v>27</v>
      </c>
      <c r="F80" s="14">
        <v>2686222</v>
      </c>
      <c r="G80" s="14">
        <v>6070060</v>
      </c>
      <c r="H80" s="14">
        <v>6011143905</v>
      </c>
      <c r="I80" s="16">
        <v>46129</v>
      </c>
      <c r="J80" s="14" t="s">
        <v>13</v>
      </c>
      <c r="K80" s="14">
        <v>1001956980</v>
      </c>
    </row>
    <row r="81" spans="1:11">
      <c r="A81" s="14" t="s">
        <v>129</v>
      </c>
      <c r="B81" s="14" t="s">
        <v>25</v>
      </c>
      <c r="C81" s="14" t="s">
        <v>26</v>
      </c>
      <c r="D81" s="15">
        <v>480</v>
      </c>
      <c r="E81" s="14" t="s">
        <v>27</v>
      </c>
      <c r="F81" s="14">
        <v>2676491</v>
      </c>
      <c r="G81" s="14">
        <v>6069667</v>
      </c>
      <c r="H81" s="14">
        <v>6011143915</v>
      </c>
      <c r="I81" s="16">
        <v>46129</v>
      </c>
      <c r="J81" s="14" t="s">
        <v>13</v>
      </c>
      <c r="K81" s="14">
        <v>1001956939</v>
      </c>
    </row>
    <row r="82" spans="1:11">
      <c r="A82" s="14" t="s">
        <v>134</v>
      </c>
      <c r="B82" s="14" t="s">
        <v>135</v>
      </c>
      <c r="C82" s="14" t="s">
        <v>136</v>
      </c>
      <c r="D82" s="15">
        <v>65.575000000000003</v>
      </c>
      <c r="E82" s="14" t="s">
        <v>12</v>
      </c>
      <c r="F82" s="14">
        <v>2676726</v>
      </c>
      <c r="G82" s="14">
        <v>6069676</v>
      </c>
      <c r="H82" s="14">
        <v>6011143927</v>
      </c>
      <c r="I82" s="16">
        <v>46129</v>
      </c>
      <c r="J82" s="14" t="s">
        <v>13</v>
      </c>
      <c r="K82" s="14">
        <v>1001956208</v>
      </c>
    </row>
    <row r="83" spans="1:11">
      <c r="A83" s="14" t="s">
        <v>28</v>
      </c>
      <c r="B83" s="14" t="s">
        <v>135</v>
      </c>
      <c r="C83" s="14" t="s">
        <v>136</v>
      </c>
      <c r="D83" s="15">
        <v>64.578000000000003</v>
      </c>
      <c r="E83" s="14" t="s">
        <v>12</v>
      </c>
      <c r="F83" s="14">
        <v>2684173</v>
      </c>
      <c r="G83" s="14">
        <v>6069944</v>
      </c>
      <c r="H83" s="14">
        <v>6011143928</v>
      </c>
      <c r="I83" s="16">
        <v>46129</v>
      </c>
      <c r="J83" s="14" t="s">
        <v>13</v>
      </c>
      <c r="K83" s="14">
        <v>1001956674</v>
      </c>
    </row>
    <row r="84" spans="1:11">
      <c r="A84" s="14" t="s">
        <v>134</v>
      </c>
      <c r="B84" s="14" t="s">
        <v>137</v>
      </c>
      <c r="C84" s="14" t="s">
        <v>138</v>
      </c>
      <c r="D84" s="22">
        <v>90</v>
      </c>
      <c r="E84" s="14" t="s">
        <v>139</v>
      </c>
      <c r="F84" s="14">
        <v>2676726</v>
      </c>
      <c r="G84" s="14">
        <v>6069676</v>
      </c>
      <c r="H84" s="14">
        <v>6011143368</v>
      </c>
      <c r="I84" s="16">
        <v>46119</v>
      </c>
      <c r="J84" s="14" t="s">
        <v>13</v>
      </c>
      <c r="K84" s="14">
        <v>1001956149</v>
      </c>
    </row>
    <row r="85" spans="1:11">
      <c r="A85" s="14" t="s">
        <v>134</v>
      </c>
      <c r="B85" s="14" t="s">
        <v>140</v>
      </c>
      <c r="C85" s="14" t="s">
        <v>141</v>
      </c>
      <c r="D85" s="15">
        <v>200</v>
      </c>
      <c r="E85" s="14" t="s">
        <v>12</v>
      </c>
      <c r="F85" s="14">
        <v>2678571</v>
      </c>
      <c r="G85" s="14">
        <v>6069777</v>
      </c>
      <c r="H85" s="14">
        <v>6011143369</v>
      </c>
      <c r="I85" s="16">
        <v>46119</v>
      </c>
      <c r="J85" s="14" t="s">
        <v>13</v>
      </c>
      <c r="K85" s="14">
        <v>1001956148</v>
      </c>
    </row>
    <row r="86" spans="1:11">
      <c r="A86" s="14" t="s">
        <v>134</v>
      </c>
      <c r="B86" s="14" t="s">
        <v>142</v>
      </c>
      <c r="C86" s="14" t="s">
        <v>141</v>
      </c>
      <c r="D86" s="15">
        <v>13.446</v>
      </c>
      <c r="E86" s="14" t="s">
        <v>12</v>
      </c>
      <c r="F86" s="14">
        <v>2677827</v>
      </c>
      <c r="G86" s="14">
        <v>6069742</v>
      </c>
      <c r="H86" s="14">
        <v>6011143417</v>
      </c>
      <c r="I86" s="16">
        <v>46120</v>
      </c>
      <c r="J86" s="14" t="s">
        <v>13</v>
      </c>
      <c r="K86" s="14">
        <v>1001956210</v>
      </c>
    </row>
    <row r="87" spans="1:11">
      <c r="A87" s="14" t="s">
        <v>134</v>
      </c>
      <c r="B87" s="14" t="s">
        <v>143</v>
      </c>
      <c r="C87" s="14" t="s">
        <v>34</v>
      </c>
      <c r="D87" s="15">
        <v>300</v>
      </c>
      <c r="E87" s="14" t="s">
        <v>35</v>
      </c>
      <c r="F87" s="14">
        <v>2658424</v>
      </c>
      <c r="G87" s="14">
        <v>6068867</v>
      </c>
      <c r="H87" s="14">
        <v>6011143418</v>
      </c>
      <c r="I87" s="16">
        <v>46120</v>
      </c>
      <c r="J87" s="14" t="s">
        <v>13</v>
      </c>
      <c r="K87" s="14">
        <v>1001956209</v>
      </c>
    </row>
    <row r="88" spans="1:11">
      <c r="A88" s="14" t="s">
        <v>144</v>
      </c>
      <c r="B88" s="14" t="s">
        <v>140</v>
      </c>
      <c r="C88" s="14" t="s">
        <v>141</v>
      </c>
      <c r="D88" s="15">
        <v>400</v>
      </c>
      <c r="E88" s="14" t="s">
        <v>12</v>
      </c>
      <c r="F88" s="14">
        <v>2678267</v>
      </c>
      <c r="G88" s="14">
        <v>6069766</v>
      </c>
      <c r="H88" s="14">
        <v>6011143419</v>
      </c>
      <c r="I88" s="16">
        <v>46120</v>
      </c>
      <c r="J88" s="14" t="s">
        <v>13</v>
      </c>
      <c r="K88" s="14">
        <v>1001956211</v>
      </c>
    </row>
    <row r="89" spans="1:11">
      <c r="A89" s="14" t="s">
        <v>145</v>
      </c>
      <c r="B89" s="14" t="s">
        <v>146</v>
      </c>
      <c r="C89" s="14" t="s">
        <v>141</v>
      </c>
      <c r="D89" s="15">
        <v>480</v>
      </c>
      <c r="E89" s="14" t="s">
        <v>12</v>
      </c>
      <c r="F89" s="14">
        <v>2674539</v>
      </c>
      <c r="G89" s="14">
        <v>6069580</v>
      </c>
      <c r="H89" s="14">
        <v>6011143420</v>
      </c>
      <c r="I89" s="16">
        <v>46120</v>
      </c>
      <c r="J89" s="14" t="s">
        <v>13</v>
      </c>
      <c r="K89" s="14">
        <v>1001956207</v>
      </c>
    </row>
    <row r="90" spans="1:11">
      <c r="A90" s="14" t="s">
        <v>145</v>
      </c>
      <c r="B90" s="14" t="s">
        <v>147</v>
      </c>
      <c r="C90" s="14" t="s">
        <v>60</v>
      </c>
      <c r="D90" s="15">
        <v>51.756</v>
      </c>
      <c r="E90" s="14" t="s">
        <v>12</v>
      </c>
      <c r="F90" s="14">
        <v>2683873</v>
      </c>
      <c r="G90" s="14">
        <v>6069933</v>
      </c>
      <c r="H90" s="14">
        <v>6011143421</v>
      </c>
      <c r="I90" s="16">
        <v>46120</v>
      </c>
      <c r="J90" s="14" t="s">
        <v>13</v>
      </c>
      <c r="K90" s="14">
        <v>1001956212</v>
      </c>
    </row>
    <row r="91" spans="1:11">
      <c r="A91" s="14" t="s">
        <v>145</v>
      </c>
      <c r="B91" s="14" t="s">
        <v>148</v>
      </c>
      <c r="C91" s="14" t="s">
        <v>149</v>
      </c>
      <c r="D91" s="15">
        <v>58</v>
      </c>
      <c r="E91" s="14" t="s">
        <v>27</v>
      </c>
      <c r="F91" s="14">
        <v>2671774</v>
      </c>
      <c r="G91" s="14">
        <v>6069435</v>
      </c>
      <c r="H91" s="14">
        <v>6011143422</v>
      </c>
      <c r="I91" s="16">
        <v>46120</v>
      </c>
      <c r="J91" s="14" t="s">
        <v>13</v>
      </c>
      <c r="K91" s="14">
        <v>1001956213</v>
      </c>
    </row>
    <row r="92" spans="1:11">
      <c r="A92" s="14" t="s">
        <v>145</v>
      </c>
      <c r="B92" s="14" t="s">
        <v>150</v>
      </c>
      <c r="C92" s="14" t="s">
        <v>39</v>
      </c>
      <c r="D92" s="15">
        <v>12.528</v>
      </c>
      <c r="E92" s="14" t="s">
        <v>12</v>
      </c>
      <c r="F92" s="14">
        <v>2679075</v>
      </c>
      <c r="G92" s="14">
        <v>6069795</v>
      </c>
      <c r="H92" s="14">
        <v>6011143423</v>
      </c>
      <c r="I92" s="16">
        <v>46120</v>
      </c>
      <c r="J92" s="14" t="s">
        <v>13</v>
      </c>
      <c r="K92" s="14">
        <v>1001956214</v>
      </c>
    </row>
    <row r="93" spans="1:11">
      <c r="A93" s="14" t="s">
        <v>144</v>
      </c>
      <c r="B93" s="14" t="s">
        <v>151</v>
      </c>
      <c r="C93" s="14" t="s">
        <v>39</v>
      </c>
      <c r="D93" s="15">
        <v>15.535</v>
      </c>
      <c r="E93" s="14" t="s">
        <v>12</v>
      </c>
      <c r="F93" s="14">
        <v>2681335</v>
      </c>
      <c r="G93" s="14">
        <v>6069893</v>
      </c>
      <c r="H93" s="14">
        <v>6011143424</v>
      </c>
      <c r="I93" s="16">
        <v>46120</v>
      </c>
      <c r="J93" s="14" t="s">
        <v>13</v>
      </c>
      <c r="K93" s="14">
        <v>1001956215</v>
      </c>
    </row>
    <row r="94" spans="1:11">
      <c r="A94" s="14" t="s">
        <v>144</v>
      </c>
      <c r="B94" s="14" t="s">
        <v>152</v>
      </c>
      <c r="C94" s="14" t="s">
        <v>141</v>
      </c>
      <c r="D94" s="15">
        <v>65.534999999999997</v>
      </c>
      <c r="E94" s="14" t="s">
        <v>12</v>
      </c>
      <c r="F94" s="14">
        <v>2679075</v>
      </c>
      <c r="G94" s="14">
        <v>6069795</v>
      </c>
      <c r="H94" s="14">
        <v>6011143425</v>
      </c>
      <c r="I94" s="16">
        <v>46120</v>
      </c>
      <c r="J94" s="14" t="s">
        <v>13</v>
      </c>
      <c r="K94" s="14">
        <v>1001956216</v>
      </c>
    </row>
    <row r="95" spans="1:11">
      <c r="A95" s="14" t="s">
        <v>144</v>
      </c>
      <c r="B95" s="14" t="s">
        <v>153</v>
      </c>
      <c r="C95" s="14" t="s">
        <v>154</v>
      </c>
      <c r="D95" s="22">
        <v>31</v>
      </c>
      <c r="E95" s="14" t="s">
        <v>139</v>
      </c>
      <c r="F95" s="14">
        <v>2679652</v>
      </c>
      <c r="G95" s="14">
        <v>6069820</v>
      </c>
      <c r="H95" s="14">
        <v>6011143429</v>
      </c>
      <c r="I95" s="16">
        <v>46120</v>
      </c>
      <c r="J95" s="14" t="s">
        <v>13</v>
      </c>
      <c r="K95" s="14">
        <v>1001956236</v>
      </c>
    </row>
    <row r="96" spans="1:11">
      <c r="A96" s="14" t="s">
        <v>155</v>
      </c>
      <c r="B96" s="14" t="s">
        <v>156</v>
      </c>
      <c r="C96" s="14" t="s">
        <v>157</v>
      </c>
      <c r="D96" s="15">
        <v>15</v>
      </c>
      <c r="E96" s="14" t="s">
        <v>27</v>
      </c>
      <c r="F96" s="14">
        <v>2679816</v>
      </c>
      <c r="G96" s="14">
        <v>6069806</v>
      </c>
      <c r="H96" s="14">
        <v>6011143456</v>
      </c>
      <c r="I96" s="16">
        <v>46121</v>
      </c>
      <c r="J96" s="14" t="s">
        <v>13</v>
      </c>
      <c r="K96" s="14">
        <v>1001956278</v>
      </c>
    </row>
    <row r="97" spans="1:11">
      <c r="A97" s="14" t="s">
        <v>155</v>
      </c>
      <c r="B97" s="14" t="s">
        <v>158</v>
      </c>
      <c r="C97" s="14" t="s">
        <v>95</v>
      </c>
      <c r="D97" s="15">
        <v>25</v>
      </c>
      <c r="E97" s="14" t="s">
        <v>27</v>
      </c>
      <c r="F97" s="14">
        <v>2684902</v>
      </c>
      <c r="G97" s="14">
        <v>6069982</v>
      </c>
      <c r="H97" s="14">
        <v>6011143457</v>
      </c>
      <c r="I97" s="16">
        <v>46121</v>
      </c>
      <c r="J97" s="14" t="s">
        <v>13</v>
      </c>
      <c r="K97" s="14">
        <v>1001956286</v>
      </c>
    </row>
    <row r="98" spans="1:11">
      <c r="A98" s="14" t="s">
        <v>155</v>
      </c>
      <c r="B98" s="14" t="s">
        <v>159</v>
      </c>
      <c r="C98" s="14" t="s">
        <v>160</v>
      </c>
      <c r="D98" s="15">
        <v>207</v>
      </c>
      <c r="E98" s="14" t="s">
        <v>27</v>
      </c>
      <c r="F98" s="14">
        <v>2681376</v>
      </c>
      <c r="G98" s="14">
        <v>6069896</v>
      </c>
      <c r="H98" s="14">
        <v>6011143461</v>
      </c>
      <c r="I98" s="16">
        <v>46121</v>
      </c>
      <c r="J98" s="14" t="s">
        <v>13</v>
      </c>
      <c r="K98" s="14">
        <v>1001956282</v>
      </c>
    </row>
    <row r="99" spans="1:11">
      <c r="A99" s="14" t="s">
        <v>155</v>
      </c>
      <c r="B99" s="14" t="s">
        <v>161</v>
      </c>
      <c r="C99" s="14" t="s">
        <v>162</v>
      </c>
      <c r="D99" s="15">
        <v>10.29</v>
      </c>
      <c r="E99" s="14" t="s">
        <v>12</v>
      </c>
      <c r="F99" s="14">
        <v>2679959</v>
      </c>
      <c r="G99" s="14">
        <v>6069840</v>
      </c>
      <c r="H99" s="14">
        <v>6011143466</v>
      </c>
      <c r="I99" s="16">
        <v>46121</v>
      </c>
      <c r="J99" s="14" t="s">
        <v>13</v>
      </c>
      <c r="K99" s="14">
        <v>1001956279</v>
      </c>
    </row>
    <row r="100" spans="1:11">
      <c r="A100" s="14" t="s">
        <v>155</v>
      </c>
      <c r="B100" s="14" t="s">
        <v>163</v>
      </c>
      <c r="C100" s="14" t="s">
        <v>164</v>
      </c>
      <c r="D100" s="15">
        <v>62</v>
      </c>
      <c r="E100" s="14" t="s">
        <v>12</v>
      </c>
      <c r="F100" s="14">
        <v>2680397</v>
      </c>
      <c r="G100" s="14">
        <v>6069856</v>
      </c>
      <c r="H100" s="14">
        <v>6011143467</v>
      </c>
      <c r="I100" s="16">
        <v>46121</v>
      </c>
      <c r="J100" s="14" t="s">
        <v>13</v>
      </c>
      <c r="K100" s="14">
        <v>1001956280</v>
      </c>
    </row>
    <row r="101" spans="1:11">
      <c r="A101" s="14" t="s">
        <v>155</v>
      </c>
      <c r="B101" s="14" t="s">
        <v>165</v>
      </c>
      <c r="C101" s="14" t="s">
        <v>166</v>
      </c>
      <c r="D101" s="15">
        <v>71.180999999999997</v>
      </c>
      <c r="E101" s="14" t="s">
        <v>12</v>
      </c>
      <c r="F101" s="14">
        <v>2675795</v>
      </c>
      <c r="G101" s="14">
        <v>6069640</v>
      </c>
      <c r="H101" s="14">
        <v>6011143474</v>
      </c>
      <c r="I101" s="16">
        <v>46121</v>
      </c>
      <c r="J101" s="14" t="s">
        <v>13</v>
      </c>
      <c r="K101" s="14">
        <v>1001956296</v>
      </c>
    </row>
    <row r="102" spans="1:11">
      <c r="A102" s="14" t="s">
        <v>167</v>
      </c>
      <c r="B102" s="14" t="s">
        <v>159</v>
      </c>
      <c r="C102" s="14" t="s">
        <v>160</v>
      </c>
      <c r="D102" s="15">
        <v>169</v>
      </c>
      <c r="E102" s="14" t="s">
        <v>27</v>
      </c>
      <c r="F102" s="14">
        <v>2685115</v>
      </c>
      <c r="G102" s="14">
        <v>6069993</v>
      </c>
      <c r="H102" s="14">
        <v>6011143476</v>
      </c>
      <c r="I102" s="16">
        <v>46121</v>
      </c>
      <c r="J102" s="14" t="s">
        <v>13</v>
      </c>
      <c r="K102" s="14">
        <v>1001956283</v>
      </c>
    </row>
    <row r="103" spans="1:11">
      <c r="A103" s="14" t="s">
        <v>167</v>
      </c>
      <c r="B103" s="14" t="s">
        <v>168</v>
      </c>
      <c r="C103" s="14" t="s">
        <v>141</v>
      </c>
      <c r="D103" s="15">
        <v>19.035</v>
      </c>
      <c r="E103" s="14" t="s">
        <v>12</v>
      </c>
      <c r="F103" s="14">
        <v>2678163</v>
      </c>
      <c r="G103" s="14">
        <v>6069765</v>
      </c>
      <c r="H103" s="14">
        <v>6011143524</v>
      </c>
      <c r="I103" s="16">
        <v>46122</v>
      </c>
      <c r="J103" s="14" t="s">
        <v>13</v>
      </c>
      <c r="K103" s="14">
        <v>1001956368</v>
      </c>
    </row>
    <row r="104" spans="1:11">
      <c r="A104" s="14" t="s">
        <v>167</v>
      </c>
      <c r="B104" s="14" t="s">
        <v>169</v>
      </c>
      <c r="C104" s="14" t="s">
        <v>170</v>
      </c>
      <c r="D104" s="15">
        <v>50</v>
      </c>
      <c r="E104" s="14" t="s">
        <v>27</v>
      </c>
      <c r="F104" s="14">
        <v>2685116</v>
      </c>
      <c r="G104" s="14">
        <v>6069994</v>
      </c>
      <c r="H104" s="14">
        <v>6011143525</v>
      </c>
      <c r="I104" s="16">
        <v>46122</v>
      </c>
      <c r="J104" s="14" t="s">
        <v>13</v>
      </c>
      <c r="K104" s="14">
        <v>1001956370</v>
      </c>
    </row>
    <row r="105" spans="1:11">
      <c r="A105" s="14" t="s">
        <v>167</v>
      </c>
      <c r="B105" s="14" t="s">
        <v>171</v>
      </c>
      <c r="C105" s="14" t="s">
        <v>170</v>
      </c>
      <c r="D105" s="15">
        <v>25</v>
      </c>
      <c r="E105" s="14" t="s">
        <v>27</v>
      </c>
      <c r="F105" s="14">
        <v>2685307</v>
      </c>
      <c r="G105" s="14">
        <v>6070007</v>
      </c>
      <c r="H105" s="14">
        <v>6011143526</v>
      </c>
      <c r="I105" s="16">
        <v>46122</v>
      </c>
      <c r="J105" s="14" t="s">
        <v>13</v>
      </c>
      <c r="K105" s="14">
        <v>1001956371</v>
      </c>
    </row>
    <row r="106" spans="1:11">
      <c r="A106" s="14" t="s">
        <v>167</v>
      </c>
      <c r="B106" s="14" t="s">
        <v>172</v>
      </c>
      <c r="C106" s="14" t="s">
        <v>170</v>
      </c>
      <c r="D106" s="15">
        <v>25</v>
      </c>
      <c r="E106" s="14" t="s">
        <v>27</v>
      </c>
      <c r="F106" s="14">
        <v>2685307</v>
      </c>
      <c r="G106" s="14">
        <v>6070007</v>
      </c>
      <c r="H106" s="14">
        <v>6011143526</v>
      </c>
      <c r="I106" s="16">
        <v>46122</v>
      </c>
      <c r="J106" s="14" t="s">
        <v>13</v>
      </c>
      <c r="K106" s="14">
        <v>1001956371</v>
      </c>
    </row>
    <row r="107" spans="1:11">
      <c r="A107" s="14" t="s">
        <v>167</v>
      </c>
      <c r="B107" s="14" t="s">
        <v>173</v>
      </c>
      <c r="C107" s="14" t="s">
        <v>170</v>
      </c>
      <c r="D107" s="15">
        <v>52</v>
      </c>
      <c r="E107" s="14" t="s">
        <v>27</v>
      </c>
      <c r="F107" s="14">
        <v>2685320</v>
      </c>
      <c r="G107" s="14">
        <v>6070008</v>
      </c>
      <c r="H107" s="14">
        <v>6011143527</v>
      </c>
      <c r="I107" s="16">
        <v>46122</v>
      </c>
      <c r="J107" s="14" t="s">
        <v>13</v>
      </c>
      <c r="K107" s="14">
        <v>1001956372</v>
      </c>
    </row>
    <row r="108" spans="1:11">
      <c r="A108" s="14" t="s">
        <v>167</v>
      </c>
      <c r="B108" s="14" t="s">
        <v>174</v>
      </c>
      <c r="C108" s="14" t="s">
        <v>52</v>
      </c>
      <c r="D108" s="15">
        <v>150</v>
      </c>
      <c r="E108" s="14" t="s">
        <v>27</v>
      </c>
      <c r="F108" s="14">
        <v>2686538</v>
      </c>
      <c r="G108" s="14">
        <v>6070083</v>
      </c>
      <c r="H108" s="14">
        <v>6011143528</v>
      </c>
      <c r="I108" s="16">
        <v>46122</v>
      </c>
      <c r="J108" s="14" t="s">
        <v>13</v>
      </c>
      <c r="K108" s="14">
        <v>1001956373</v>
      </c>
    </row>
    <row r="109" spans="1:11">
      <c r="A109" s="14" t="s">
        <v>175</v>
      </c>
      <c r="B109" s="14" t="s">
        <v>176</v>
      </c>
      <c r="C109" s="14" t="s">
        <v>44</v>
      </c>
      <c r="D109" s="15">
        <v>121.17700000000001</v>
      </c>
      <c r="E109" s="14" t="s">
        <v>12</v>
      </c>
      <c r="F109" s="14">
        <v>2669522</v>
      </c>
      <c r="G109" s="14">
        <v>6069381</v>
      </c>
      <c r="H109" s="14">
        <v>6011143610</v>
      </c>
      <c r="I109" s="16">
        <v>46123</v>
      </c>
      <c r="J109" s="14" t="s">
        <v>13</v>
      </c>
      <c r="K109" s="14">
        <v>1001956475</v>
      </c>
    </row>
    <row r="110" spans="1:11">
      <c r="A110" s="14" t="s">
        <v>175</v>
      </c>
      <c r="B110" s="14" t="s">
        <v>177</v>
      </c>
      <c r="C110" s="14" t="s">
        <v>178</v>
      </c>
      <c r="D110" s="15">
        <v>81.126999999999995</v>
      </c>
      <c r="E110" s="14" t="s">
        <v>12</v>
      </c>
      <c r="F110" s="14">
        <v>2680777</v>
      </c>
      <c r="G110" s="14">
        <v>6069876</v>
      </c>
      <c r="H110" s="14">
        <v>6011143611</v>
      </c>
      <c r="I110" s="16">
        <v>46123</v>
      </c>
      <c r="J110" s="14" t="s">
        <v>13</v>
      </c>
      <c r="K110" s="14">
        <v>1001956477</v>
      </c>
    </row>
    <row r="111" spans="1:11">
      <c r="A111" s="14" t="s">
        <v>175</v>
      </c>
      <c r="B111" s="14" t="s">
        <v>118</v>
      </c>
      <c r="C111" s="14" t="s">
        <v>50</v>
      </c>
      <c r="D111" s="15">
        <v>106</v>
      </c>
      <c r="E111" s="14" t="s">
        <v>27</v>
      </c>
      <c r="F111" s="14">
        <v>2685116</v>
      </c>
      <c r="G111" s="14">
        <v>6069994</v>
      </c>
      <c r="H111" s="14">
        <v>6011143612</v>
      </c>
      <c r="I111" s="16">
        <v>46123</v>
      </c>
      <c r="J111" s="14" t="s">
        <v>13</v>
      </c>
      <c r="K111" s="14">
        <v>1001956482</v>
      </c>
    </row>
    <row r="112" spans="1:11">
      <c r="A112" s="14" t="s">
        <v>175</v>
      </c>
      <c r="B112" s="14" t="s">
        <v>179</v>
      </c>
      <c r="C112" s="14" t="s">
        <v>50</v>
      </c>
      <c r="D112" s="15">
        <v>50</v>
      </c>
      <c r="E112" s="14" t="s">
        <v>27</v>
      </c>
      <c r="F112" s="14">
        <v>2685320</v>
      </c>
      <c r="G112" s="14">
        <v>6070008</v>
      </c>
      <c r="H112" s="14">
        <v>6011143613</v>
      </c>
      <c r="I112" s="16">
        <v>46123</v>
      </c>
      <c r="J112" s="14" t="s">
        <v>13</v>
      </c>
      <c r="K112" s="14">
        <v>1001956483</v>
      </c>
    </row>
    <row r="113" spans="1:11">
      <c r="A113" s="14" t="s">
        <v>175</v>
      </c>
      <c r="B113" s="14" t="s">
        <v>82</v>
      </c>
      <c r="C113" s="14" t="s">
        <v>50</v>
      </c>
      <c r="D113" s="15">
        <v>50</v>
      </c>
      <c r="E113" s="14" t="s">
        <v>27</v>
      </c>
      <c r="F113" s="14">
        <v>2685115</v>
      </c>
      <c r="G113" s="14">
        <v>6069993</v>
      </c>
      <c r="H113" s="14">
        <v>6011143639</v>
      </c>
      <c r="I113" s="16">
        <v>46125</v>
      </c>
      <c r="J113" s="14" t="s">
        <v>13</v>
      </c>
      <c r="K113" s="14">
        <v>1001956481</v>
      </c>
    </row>
    <row r="114" spans="1:11">
      <c r="A114" s="14" t="s">
        <v>175</v>
      </c>
      <c r="B114" s="14" t="s">
        <v>180</v>
      </c>
      <c r="C114" s="14" t="s">
        <v>95</v>
      </c>
      <c r="D114" s="15">
        <v>61</v>
      </c>
      <c r="E114" s="14" t="s">
        <v>27</v>
      </c>
      <c r="F114" s="14">
        <v>2679864</v>
      </c>
      <c r="G114" s="14">
        <v>6069819</v>
      </c>
      <c r="H114" s="14">
        <v>6011143640</v>
      </c>
      <c r="I114" s="16">
        <v>46125</v>
      </c>
      <c r="J114" s="14" t="s">
        <v>13</v>
      </c>
      <c r="K114" s="14">
        <v>1001956480</v>
      </c>
    </row>
    <row r="115" spans="1:11">
      <c r="A115" s="14" t="s">
        <v>175</v>
      </c>
      <c r="B115" s="14" t="s">
        <v>181</v>
      </c>
      <c r="C115" s="14" t="s">
        <v>162</v>
      </c>
      <c r="D115" s="15">
        <v>39.787999999999997</v>
      </c>
      <c r="E115" s="14" t="s">
        <v>12</v>
      </c>
      <c r="F115" s="14">
        <v>2673733</v>
      </c>
      <c r="G115" s="14">
        <v>6069542</v>
      </c>
      <c r="H115" s="14">
        <v>6011143641</v>
      </c>
      <c r="I115" s="16">
        <v>46125</v>
      </c>
      <c r="J115" s="14" t="s">
        <v>13</v>
      </c>
      <c r="K115" s="14">
        <v>1001956479</v>
      </c>
    </row>
    <row r="116" spans="1:11">
      <c r="A116" s="14" t="s">
        <v>79</v>
      </c>
      <c r="B116" s="14" t="s">
        <v>182</v>
      </c>
      <c r="C116" s="14" t="s">
        <v>95</v>
      </c>
      <c r="D116" s="15">
        <v>50</v>
      </c>
      <c r="E116" s="14" t="s">
        <v>27</v>
      </c>
      <c r="F116" s="14">
        <v>2686112</v>
      </c>
      <c r="G116" s="14">
        <v>6070052</v>
      </c>
      <c r="H116" s="14">
        <v>6011143657</v>
      </c>
      <c r="I116" s="16">
        <v>46126</v>
      </c>
      <c r="J116" s="14" t="s">
        <v>13</v>
      </c>
      <c r="K116" s="14">
        <v>1001956621</v>
      </c>
    </row>
    <row r="117" spans="1:11">
      <c r="A117" s="14" t="s">
        <v>79</v>
      </c>
      <c r="B117" s="14" t="s">
        <v>183</v>
      </c>
      <c r="C117" s="14" t="s">
        <v>184</v>
      </c>
      <c r="D117" s="15">
        <v>113.09399999999999</v>
      </c>
      <c r="E117" s="14" t="s">
        <v>12</v>
      </c>
      <c r="F117" s="14">
        <v>2684900</v>
      </c>
      <c r="G117" s="14">
        <v>6069983</v>
      </c>
      <c r="H117" s="14">
        <v>6011143659</v>
      </c>
      <c r="I117" s="16">
        <v>46126</v>
      </c>
      <c r="J117" s="14" t="s">
        <v>13</v>
      </c>
      <c r="K117" s="14">
        <v>1001956631</v>
      </c>
    </row>
    <row r="118" spans="1:11">
      <c r="A118" s="14" t="s">
        <v>79</v>
      </c>
      <c r="B118" s="14" t="s">
        <v>185</v>
      </c>
      <c r="C118" s="14" t="s">
        <v>39</v>
      </c>
      <c r="D118" s="15">
        <v>68.941999999999993</v>
      </c>
      <c r="E118" s="14" t="s">
        <v>12</v>
      </c>
      <c r="F118" s="14">
        <v>2678571</v>
      </c>
      <c r="G118" s="14">
        <v>6069777</v>
      </c>
      <c r="H118" s="14">
        <v>6011143663</v>
      </c>
      <c r="I118" s="16">
        <v>46126</v>
      </c>
      <c r="J118" s="14" t="s">
        <v>13</v>
      </c>
      <c r="K118" s="14">
        <v>1001956629</v>
      </c>
    </row>
    <row r="119" spans="1:11">
      <c r="A119" s="14" t="s">
        <v>79</v>
      </c>
      <c r="B119" s="14" t="s">
        <v>186</v>
      </c>
      <c r="C119" s="14" t="s">
        <v>72</v>
      </c>
      <c r="D119" s="15">
        <v>61</v>
      </c>
      <c r="E119" s="14" t="s">
        <v>27</v>
      </c>
      <c r="F119" s="14">
        <v>2683873</v>
      </c>
      <c r="G119" s="14">
        <v>6069933</v>
      </c>
      <c r="H119" s="14">
        <v>6011143664</v>
      </c>
      <c r="I119" s="16">
        <v>46126</v>
      </c>
      <c r="J119" s="14" t="s">
        <v>13</v>
      </c>
      <c r="K119" s="14">
        <v>1001956630</v>
      </c>
    </row>
    <row r="120" spans="1:11">
      <c r="A120" s="14" t="s">
        <v>79</v>
      </c>
      <c r="B120" s="14" t="s">
        <v>187</v>
      </c>
      <c r="C120" s="14" t="s">
        <v>50</v>
      </c>
      <c r="D120" s="15">
        <v>25</v>
      </c>
      <c r="E120" s="14" t="s">
        <v>27</v>
      </c>
      <c r="F120" s="14">
        <v>2685320</v>
      </c>
      <c r="G120" s="14">
        <v>6070008</v>
      </c>
      <c r="H120" s="14">
        <v>6011143665</v>
      </c>
      <c r="I120" s="16">
        <v>46126</v>
      </c>
      <c r="J120" s="14" t="s">
        <v>13</v>
      </c>
      <c r="K120" s="14">
        <v>1001956634</v>
      </c>
    </row>
    <row r="121" spans="1:11">
      <c r="A121" s="14" t="s">
        <v>79</v>
      </c>
      <c r="B121" s="14" t="s">
        <v>188</v>
      </c>
      <c r="C121" s="14" t="s">
        <v>50</v>
      </c>
      <c r="D121" s="15">
        <v>50</v>
      </c>
      <c r="E121" s="14" t="s">
        <v>27</v>
      </c>
      <c r="F121" s="14">
        <v>2685320</v>
      </c>
      <c r="G121" s="14">
        <v>6070008</v>
      </c>
      <c r="H121" s="14">
        <v>6011143665</v>
      </c>
      <c r="I121" s="16">
        <v>46126</v>
      </c>
      <c r="J121" s="14" t="s">
        <v>13</v>
      </c>
      <c r="K121" s="14">
        <v>1001956634</v>
      </c>
    </row>
    <row r="122" spans="1:11">
      <c r="A122" s="14" t="s">
        <v>189</v>
      </c>
      <c r="B122" s="14" t="s">
        <v>190</v>
      </c>
      <c r="C122" s="14" t="s">
        <v>63</v>
      </c>
      <c r="D122" s="15">
        <v>1504</v>
      </c>
      <c r="E122" s="14" t="s">
        <v>27</v>
      </c>
      <c r="F122" s="14">
        <v>2686538</v>
      </c>
      <c r="G122" s="14">
        <v>6070083</v>
      </c>
      <c r="H122" s="14">
        <v>6011143676</v>
      </c>
      <c r="I122" s="16">
        <v>46126</v>
      </c>
      <c r="J122" s="14" t="s">
        <v>13</v>
      </c>
      <c r="K122" s="14">
        <v>1001956660</v>
      </c>
    </row>
    <row r="123" spans="1:11">
      <c r="A123" s="14" t="s">
        <v>189</v>
      </c>
      <c r="B123" s="14" t="s">
        <v>191</v>
      </c>
      <c r="C123" s="14" t="s">
        <v>30</v>
      </c>
      <c r="D123" s="15">
        <v>13</v>
      </c>
      <c r="E123" s="14" t="s">
        <v>12</v>
      </c>
      <c r="F123" s="14">
        <v>2679075</v>
      </c>
      <c r="G123" s="14">
        <v>6069795</v>
      </c>
      <c r="H123" s="14">
        <v>6011143677</v>
      </c>
      <c r="I123" s="16">
        <v>46126</v>
      </c>
      <c r="J123" s="14" t="s">
        <v>13</v>
      </c>
      <c r="K123" s="14">
        <v>1001956658</v>
      </c>
    </row>
    <row r="124" spans="1:11">
      <c r="A124" s="14" t="s">
        <v>189</v>
      </c>
      <c r="B124" s="14" t="s">
        <v>192</v>
      </c>
      <c r="C124" s="14" t="s">
        <v>193</v>
      </c>
      <c r="D124" s="15">
        <v>25</v>
      </c>
      <c r="E124" s="14" t="s">
        <v>27</v>
      </c>
      <c r="F124" s="14">
        <v>2684900</v>
      </c>
      <c r="G124" s="14">
        <v>6069983</v>
      </c>
      <c r="H124" s="14">
        <v>6011143678</v>
      </c>
      <c r="I124" s="16">
        <v>46126</v>
      </c>
      <c r="J124" s="14" t="s">
        <v>13</v>
      </c>
      <c r="K124" s="14">
        <v>1001956659</v>
      </c>
    </row>
    <row r="125" spans="1:11">
      <c r="A125" s="14" t="s">
        <v>189</v>
      </c>
      <c r="B125" s="14" t="s">
        <v>163</v>
      </c>
      <c r="C125" s="14" t="s">
        <v>164</v>
      </c>
      <c r="D125" s="15">
        <v>52</v>
      </c>
      <c r="E125" s="14" t="s">
        <v>12</v>
      </c>
      <c r="F125" s="14">
        <v>2684900</v>
      </c>
      <c r="G125" s="14">
        <v>6069983</v>
      </c>
      <c r="H125" s="14">
        <v>6011143678</v>
      </c>
      <c r="I125" s="16">
        <v>46126</v>
      </c>
      <c r="J125" s="14" t="s">
        <v>13</v>
      </c>
      <c r="K125" s="14">
        <v>1001956659</v>
      </c>
    </row>
  </sheetData>
  <mergeCells count="1">
    <mergeCell ref="A1:K7"/>
  </mergeCells>
  <phoneticPr fontId="2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28"/>
  <sheetViews>
    <sheetView workbookViewId="0">
      <selection activeCell="G32" sqref="G32"/>
    </sheetView>
  </sheetViews>
  <sheetFormatPr defaultColWidth="13.42578125" defaultRowHeight="15"/>
  <cols>
    <col min="2" max="2" width="12.42578125" style="12" customWidth="1"/>
    <col min="6" max="6" width="14.28515625" customWidth="1"/>
    <col min="8" max="8" width="16.5703125" customWidth="1"/>
  </cols>
  <sheetData>
    <row r="1" spans="1:9">
      <c r="A1" s="9" t="s">
        <v>14</v>
      </c>
      <c r="B1" s="9" t="s">
        <v>15</v>
      </c>
      <c r="C1" s="45" t="s">
        <v>16</v>
      </c>
      <c r="D1" s="45"/>
      <c r="E1" s="45"/>
      <c r="F1" s="4" t="s">
        <v>17</v>
      </c>
      <c r="G1" s="4" t="s">
        <v>18</v>
      </c>
      <c r="H1" s="4" t="s">
        <v>17</v>
      </c>
      <c r="I1" s="4" t="s">
        <v>18</v>
      </c>
    </row>
    <row r="2" spans="1:9">
      <c r="A2" s="4"/>
      <c r="B2" s="4"/>
      <c r="C2" s="4" t="s">
        <v>19</v>
      </c>
      <c r="D2" s="4" t="s">
        <v>20</v>
      </c>
      <c r="E2" s="4" t="s">
        <v>21</v>
      </c>
      <c r="F2" s="4" t="s">
        <v>12</v>
      </c>
      <c r="G2" s="4" t="s">
        <v>12</v>
      </c>
      <c r="H2" s="4" t="s">
        <v>22</v>
      </c>
      <c r="I2" s="4" t="s">
        <v>22</v>
      </c>
    </row>
    <row r="3" spans="1:9" s="12" customFormat="1">
      <c r="A3" s="12">
        <v>1</v>
      </c>
      <c r="B3" s="12">
        <v>29</v>
      </c>
      <c r="C3" s="2">
        <v>100</v>
      </c>
      <c r="D3" s="2">
        <v>120</v>
      </c>
      <c r="E3" s="2">
        <v>190</v>
      </c>
      <c r="F3" s="13">
        <v>448.221</v>
      </c>
      <c r="G3" s="13">
        <f>I3*2.2046</f>
        <v>503.33600000000001</v>
      </c>
      <c r="H3" s="6">
        <f>F3/2.2046</f>
        <v>203.31171187517009</v>
      </c>
      <c r="I3" s="21">
        <f>H3+25</f>
        <v>228.31171187517009</v>
      </c>
    </row>
    <row r="4" spans="1:9" s="12" customFormat="1">
      <c r="A4" s="12">
        <v>2</v>
      </c>
      <c r="B4" s="12">
        <v>23</v>
      </c>
      <c r="C4" s="2">
        <v>100</v>
      </c>
      <c r="D4" s="2">
        <v>120</v>
      </c>
      <c r="E4" s="2">
        <v>190</v>
      </c>
      <c r="F4" s="13">
        <v>488.44800000000004</v>
      </c>
      <c r="G4" s="13">
        <f t="shared" ref="G4:G10" si="0">I4*2.2046</f>
        <v>543.5630000000001</v>
      </c>
      <c r="H4" s="6">
        <f t="shared" ref="H4:H10" si="1">F4/2.2046</f>
        <v>221.55855937585051</v>
      </c>
      <c r="I4" s="21">
        <f t="shared" ref="I4:I10" si="2">H4+25</f>
        <v>246.55855937585051</v>
      </c>
    </row>
    <row r="5" spans="1:9" s="12" customFormat="1">
      <c r="A5" s="12">
        <v>3</v>
      </c>
      <c r="B5" s="12">
        <v>24</v>
      </c>
      <c r="C5" s="2">
        <v>100</v>
      </c>
      <c r="D5" s="2">
        <v>120</v>
      </c>
      <c r="E5" s="2">
        <v>190</v>
      </c>
      <c r="F5" s="13">
        <v>579.95399999999995</v>
      </c>
      <c r="G5" s="13">
        <f t="shared" si="0"/>
        <v>635.06899999999996</v>
      </c>
      <c r="H5" s="6">
        <f>F5/2.2046</f>
        <v>263.06540869091896</v>
      </c>
      <c r="I5" s="21">
        <f t="shared" si="2"/>
        <v>288.06540869091896</v>
      </c>
    </row>
    <row r="6" spans="1:9" s="12" customFormat="1">
      <c r="A6" s="12">
        <v>4</v>
      </c>
      <c r="B6" s="12">
        <v>23</v>
      </c>
      <c r="C6" s="2">
        <v>100</v>
      </c>
      <c r="D6" s="2">
        <v>120</v>
      </c>
      <c r="E6" s="2">
        <v>190</v>
      </c>
      <c r="F6" s="13">
        <v>655.48299999999995</v>
      </c>
      <c r="G6" s="13">
        <f t="shared" si="0"/>
        <v>710.59799999999984</v>
      </c>
      <c r="H6" s="6">
        <f t="shared" si="1"/>
        <v>297.32513834709238</v>
      </c>
      <c r="I6" s="21">
        <f t="shared" si="2"/>
        <v>322.32513834709238</v>
      </c>
    </row>
    <row r="7" spans="1:9" s="12" customFormat="1">
      <c r="A7" s="12">
        <v>5</v>
      </c>
      <c r="B7" s="12">
        <v>32</v>
      </c>
      <c r="C7" s="2">
        <v>100</v>
      </c>
      <c r="D7" s="2">
        <v>120</v>
      </c>
      <c r="E7" s="2">
        <v>190</v>
      </c>
      <c r="F7" s="13">
        <v>588.19899999999996</v>
      </c>
      <c r="G7" s="13">
        <f t="shared" si="0"/>
        <v>643.31399999999996</v>
      </c>
      <c r="H7" s="6">
        <f t="shared" si="1"/>
        <v>266.80531615712596</v>
      </c>
      <c r="I7" s="21">
        <f t="shared" si="2"/>
        <v>291.80531615712596</v>
      </c>
    </row>
    <row r="8" spans="1:9" s="12" customFormat="1">
      <c r="A8" s="12">
        <v>6</v>
      </c>
      <c r="B8" s="12">
        <v>24</v>
      </c>
      <c r="C8" s="2">
        <v>100</v>
      </c>
      <c r="D8" s="2">
        <v>120</v>
      </c>
      <c r="E8" s="2">
        <v>190</v>
      </c>
      <c r="F8" s="13">
        <v>377.04</v>
      </c>
      <c r="G8" s="13">
        <f t="shared" si="0"/>
        <v>432.15500000000003</v>
      </c>
      <c r="H8" s="6">
        <f t="shared" si="1"/>
        <v>171.02422208110315</v>
      </c>
      <c r="I8" s="21">
        <f t="shared" si="2"/>
        <v>196.02422208110315</v>
      </c>
    </row>
    <row r="9" spans="1:9" s="12" customFormat="1">
      <c r="A9" s="12">
        <v>7</v>
      </c>
      <c r="B9" s="12">
        <v>56</v>
      </c>
      <c r="C9" s="2">
        <v>100</v>
      </c>
      <c r="D9" s="2">
        <v>120</v>
      </c>
      <c r="E9" s="2">
        <v>190</v>
      </c>
      <c r="F9" s="13">
        <v>1373.0309999999999</v>
      </c>
      <c r="G9" s="13">
        <f t="shared" si="0"/>
        <v>1428.146</v>
      </c>
      <c r="H9" s="6">
        <f t="shared" si="1"/>
        <v>622.8027760137893</v>
      </c>
      <c r="I9" s="21">
        <f t="shared" si="2"/>
        <v>647.8027760137893</v>
      </c>
    </row>
    <row r="10" spans="1:9" s="12" customFormat="1">
      <c r="A10" s="12">
        <v>8</v>
      </c>
      <c r="B10" s="12">
        <v>44</v>
      </c>
      <c r="C10" s="2">
        <v>100</v>
      </c>
      <c r="D10" s="2">
        <v>120</v>
      </c>
      <c r="E10" s="2">
        <v>190</v>
      </c>
      <c r="F10" s="13">
        <v>1248.21</v>
      </c>
      <c r="G10" s="13">
        <f t="shared" si="0"/>
        <v>1303.325</v>
      </c>
      <c r="H10" s="6">
        <f t="shared" si="1"/>
        <v>566.18434183071759</v>
      </c>
      <c r="I10" s="21">
        <f t="shared" si="2"/>
        <v>591.18434183071759</v>
      </c>
    </row>
    <row r="11" spans="1:9" s="12" customFormat="1">
      <c r="A11" s="12">
        <v>9</v>
      </c>
      <c r="B11" s="12">
        <v>44</v>
      </c>
      <c r="C11" s="2">
        <v>100</v>
      </c>
      <c r="D11" s="2">
        <v>120</v>
      </c>
      <c r="E11" s="2">
        <v>190</v>
      </c>
      <c r="F11" s="13">
        <v>1248.21</v>
      </c>
      <c r="G11" s="13">
        <f t="shared" ref="G11:G24" si="3">I11*2.2046</f>
        <v>1303.325</v>
      </c>
      <c r="H11" s="6">
        <f t="shared" ref="H11:H24" si="4">F11/2.2046</f>
        <v>566.18434183071759</v>
      </c>
      <c r="I11" s="21">
        <f t="shared" ref="I11:I24" si="5">H11+25</f>
        <v>591.18434183071759</v>
      </c>
    </row>
    <row r="12" spans="1:9" s="12" customFormat="1">
      <c r="A12" s="12">
        <v>10</v>
      </c>
      <c r="B12" s="12">
        <v>44</v>
      </c>
      <c r="C12" s="2">
        <v>100</v>
      </c>
      <c r="D12" s="2">
        <v>120</v>
      </c>
      <c r="E12" s="2">
        <v>190</v>
      </c>
      <c r="F12" s="13">
        <v>1248.21</v>
      </c>
      <c r="G12" s="13">
        <f t="shared" si="3"/>
        <v>1303.325</v>
      </c>
      <c r="H12" s="6">
        <f t="shared" si="4"/>
        <v>566.18434183071759</v>
      </c>
      <c r="I12" s="21">
        <f t="shared" si="5"/>
        <v>591.18434183071759</v>
      </c>
    </row>
    <row r="13" spans="1:9" s="12" customFormat="1">
      <c r="A13" s="12">
        <v>11</v>
      </c>
      <c r="B13" s="12">
        <v>26</v>
      </c>
      <c r="C13" s="2">
        <v>100</v>
      </c>
      <c r="D13" s="2">
        <v>120</v>
      </c>
      <c r="E13" s="2">
        <v>190</v>
      </c>
      <c r="F13" s="13">
        <v>1248.21</v>
      </c>
      <c r="G13" s="13">
        <f t="shared" si="3"/>
        <v>1303.325</v>
      </c>
      <c r="H13" s="6">
        <f t="shared" si="4"/>
        <v>566.18434183071759</v>
      </c>
      <c r="I13" s="21">
        <f t="shared" si="5"/>
        <v>591.18434183071759</v>
      </c>
    </row>
    <row r="14" spans="1:9" s="12" customFormat="1">
      <c r="A14" s="12">
        <v>12</v>
      </c>
      <c r="B14" s="12">
        <v>16</v>
      </c>
      <c r="C14" s="2">
        <v>100</v>
      </c>
      <c r="D14" s="2">
        <v>120</v>
      </c>
      <c r="E14" s="2">
        <v>190</v>
      </c>
      <c r="F14" s="13">
        <v>481</v>
      </c>
      <c r="G14" s="13">
        <f t="shared" si="3"/>
        <v>536.11500000000001</v>
      </c>
      <c r="H14" s="6">
        <f t="shared" si="4"/>
        <v>218.18016873809307</v>
      </c>
      <c r="I14" s="21">
        <f t="shared" si="5"/>
        <v>243.18016873809307</v>
      </c>
    </row>
    <row r="15" spans="1:9" s="12" customFormat="1">
      <c r="A15" s="12">
        <v>13</v>
      </c>
      <c r="B15" s="12">
        <v>16</v>
      </c>
      <c r="C15" s="2">
        <v>100</v>
      </c>
      <c r="D15" s="2">
        <v>120</v>
      </c>
      <c r="E15" s="2">
        <v>190</v>
      </c>
      <c r="F15" s="13">
        <v>481</v>
      </c>
      <c r="G15" s="13">
        <f t="shared" si="3"/>
        <v>536.11500000000001</v>
      </c>
      <c r="H15" s="6">
        <f t="shared" si="4"/>
        <v>218.18016873809307</v>
      </c>
      <c r="I15" s="21">
        <f t="shared" si="5"/>
        <v>243.18016873809307</v>
      </c>
    </row>
    <row r="16" spans="1:9" s="12" customFormat="1">
      <c r="A16" s="12">
        <v>14</v>
      </c>
      <c r="B16" s="12">
        <v>16</v>
      </c>
      <c r="C16" s="2">
        <v>100</v>
      </c>
      <c r="D16" s="2">
        <v>120</v>
      </c>
      <c r="E16" s="2">
        <v>190</v>
      </c>
      <c r="F16" s="13">
        <v>679.22800000000007</v>
      </c>
      <c r="G16" s="13">
        <f t="shared" si="3"/>
        <v>734.34300000000007</v>
      </c>
      <c r="H16" s="6">
        <f t="shared" si="4"/>
        <v>308.09579969155402</v>
      </c>
      <c r="I16" s="21">
        <f t="shared" si="5"/>
        <v>333.09579969155402</v>
      </c>
    </row>
    <row r="17" spans="1:9" s="12" customFormat="1">
      <c r="A17" s="12">
        <v>15</v>
      </c>
      <c r="B17" s="12">
        <v>26</v>
      </c>
      <c r="C17" s="2">
        <v>100</v>
      </c>
      <c r="D17" s="2">
        <v>120</v>
      </c>
      <c r="E17" s="2">
        <v>190</v>
      </c>
      <c r="F17" s="13">
        <v>679.22800000000007</v>
      </c>
      <c r="G17" s="13">
        <f t="shared" si="3"/>
        <v>734.34300000000007</v>
      </c>
      <c r="H17" s="6">
        <f t="shared" si="4"/>
        <v>308.09579969155402</v>
      </c>
      <c r="I17" s="21">
        <f t="shared" si="5"/>
        <v>333.09579969155402</v>
      </c>
    </row>
    <row r="18" spans="1:9" s="12" customFormat="1">
      <c r="A18" s="12">
        <v>16</v>
      </c>
      <c r="B18" s="12">
        <v>41</v>
      </c>
      <c r="C18" s="2">
        <v>100</v>
      </c>
      <c r="D18" s="2">
        <v>120</v>
      </c>
      <c r="E18" s="2">
        <v>190</v>
      </c>
      <c r="F18" s="13">
        <v>784.62499999999989</v>
      </c>
      <c r="G18" s="13">
        <f t="shared" si="3"/>
        <v>839.7399999999999</v>
      </c>
      <c r="H18" s="6">
        <f t="shared" si="4"/>
        <v>355.90356527261173</v>
      </c>
      <c r="I18" s="21">
        <f t="shared" si="5"/>
        <v>380.90356527261173</v>
      </c>
    </row>
    <row r="19" spans="1:9" s="12" customFormat="1">
      <c r="A19" s="12">
        <v>17</v>
      </c>
      <c r="B19" s="12">
        <v>41</v>
      </c>
      <c r="C19" s="2">
        <v>100</v>
      </c>
      <c r="D19" s="2">
        <v>120</v>
      </c>
      <c r="E19" s="2">
        <v>190</v>
      </c>
      <c r="F19" s="13">
        <v>612.37999999999988</v>
      </c>
      <c r="G19" s="13">
        <f t="shared" si="3"/>
        <v>667.49499999999989</v>
      </c>
      <c r="H19" s="6">
        <f t="shared" si="4"/>
        <v>277.77374580422747</v>
      </c>
      <c r="I19" s="21">
        <f t="shared" si="5"/>
        <v>302.77374580422747</v>
      </c>
    </row>
    <row r="20" spans="1:9" s="12" customFormat="1">
      <c r="A20" s="12">
        <v>18</v>
      </c>
      <c r="B20" s="12">
        <v>59</v>
      </c>
      <c r="C20" s="2">
        <v>100</v>
      </c>
      <c r="D20" s="2">
        <v>120</v>
      </c>
      <c r="E20" s="2">
        <v>190</v>
      </c>
      <c r="F20" s="13">
        <v>826.66899999999998</v>
      </c>
      <c r="G20" s="13">
        <f t="shared" si="3"/>
        <v>881.78399999999999</v>
      </c>
      <c r="H20" s="6">
        <f t="shared" si="4"/>
        <v>374.9745985666334</v>
      </c>
      <c r="I20" s="21">
        <f t="shared" si="5"/>
        <v>399.9745985666334</v>
      </c>
    </row>
    <row r="21" spans="1:9" s="12" customFormat="1">
      <c r="A21" s="12">
        <v>19</v>
      </c>
      <c r="B21" s="12">
        <v>36</v>
      </c>
      <c r="C21" s="2">
        <v>100</v>
      </c>
      <c r="D21" s="2">
        <v>120</v>
      </c>
      <c r="E21" s="2">
        <v>190</v>
      </c>
      <c r="F21" s="13">
        <v>664.50299999999993</v>
      </c>
      <c r="G21" s="13">
        <f t="shared" si="3"/>
        <v>719.61799999999994</v>
      </c>
      <c r="H21" s="6">
        <f t="shared" si="4"/>
        <v>301.41658350721212</v>
      </c>
      <c r="I21" s="21">
        <f t="shared" si="5"/>
        <v>326.41658350721212</v>
      </c>
    </row>
    <row r="22" spans="1:9" s="12" customFormat="1">
      <c r="A22" s="12">
        <v>20</v>
      </c>
      <c r="B22" s="12">
        <v>38</v>
      </c>
      <c r="C22" s="2">
        <v>100</v>
      </c>
      <c r="D22" s="2">
        <v>120</v>
      </c>
      <c r="E22" s="2">
        <v>190</v>
      </c>
      <c r="F22" s="13">
        <v>546.96900000000005</v>
      </c>
      <c r="G22" s="13">
        <f t="shared" si="3"/>
        <v>602.08399999999995</v>
      </c>
      <c r="H22" s="6">
        <f t="shared" si="4"/>
        <v>248.10351084096888</v>
      </c>
      <c r="I22" s="21">
        <f t="shared" si="5"/>
        <v>273.10351084096885</v>
      </c>
    </row>
    <row r="23" spans="1:9" s="12" customFormat="1">
      <c r="A23" s="12">
        <v>21</v>
      </c>
      <c r="B23" s="12">
        <v>24</v>
      </c>
      <c r="C23" s="2">
        <v>100</v>
      </c>
      <c r="D23" s="2">
        <v>120</v>
      </c>
      <c r="E23" s="2">
        <v>190</v>
      </c>
      <c r="F23" s="13">
        <v>486.88</v>
      </c>
      <c r="G23" s="13">
        <f t="shared" si="3"/>
        <v>541.995</v>
      </c>
      <c r="H23" s="6">
        <f t="shared" si="4"/>
        <v>220.84731924158575</v>
      </c>
      <c r="I23" s="21">
        <f t="shared" si="5"/>
        <v>245.84731924158575</v>
      </c>
    </row>
    <row r="24" spans="1:9" s="12" customFormat="1">
      <c r="A24" s="12">
        <v>22</v>
      </c>
      <c r="B24" s="12">
        <v>22</v>
      </c>
      <c r="C24" s="2">
        <v>100</v>
      </c>
      <c r="D24" s="2">
        <v>120</v>
      </c>
      <c r="E24" s="2">
        <v>190</v>
      </c>
      <c r="F24" s="13">
        <v>607.38900000000001</v>
      </c>
      <c r="G24" s="13">
        <f t="shared" si="3"/>
        <v>662.50400000000002</v>
      </c>
      <c r="H24" s="6">
        <f t="shared" si="4"/>
        <v>275.50984305542954</v>
      </c>
      <c r="I24" s="21">
        <f t="shared" si="5"/>
        <v>300.50984305542954</v>
      </c>
    </row>
    <row r="25" spans="1:9">
      <c r="A25" s="10">
        <f>COUNT(A3:A24)</f>
        <v>22</v>
      </c>
      <c r="B25" s="3">
        <f>SUM(B3:B24)</f>
        <v>704</v>
      </c>
      <c r="C25" s="3"/>
      <c r="D25" s="3"/>
      <c r="E25" s="3"/>
      <c r="F25" s="8">
        <f>SUM(F3:F24)</f>
        <v>16353.086999999998</v>
      </c>
      <c r="G25" s="17">
        <f>SUM(G3:G24)</f>
        <v>17565.617000000002</v>
      </c>
      <c r="H25" s="8">
        <f>SUM(H3:H24)</f>
        <v>7417.7116030118832</v>
      </c>
      <c r="I25" s="17">
        <f>SUM(I3:I24)</f>
        <v>7967.7116030118832</v>
      </c>
    </row>
    <row r="26" spans="1:9">
      <c r="C26" s="2"/>
    </row>
    <row r="27" spans="1:9">
      <c r="G27" s="11"/>
    </row>
    <row r="28" spans="1:9">
      <c r="I28" s="11"/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AC33-034A-4166-9137-7316301977C2}">
  <dimension ref="A2:AB31"/>
  <sheetViews>
    <sheetView topLeftCell="A2" zoomScale="90" zoomScaleNormal="90" workbookViewId="0">
      <selection activeCell="C10" sqref="C10"/>
    </sheetView>
  </sheetViews>
  <sheetFormatPr defaultColWidth="9.140625" defaultRowHeight="10.5"/>
  <cols>
    <col min="1" max="1" width="11.5703125" style="24" customWidth="1"/>
    <col min="2" max="2" width="20" style="24" customWidth="1"/>
    <col min="3" max="3" width="29.140625" style="24" bestFit="1" customWidth="1"/>
    <col min="4" max="4" width="11.85546875" style="24" bestFit="1" customWidth="1"/>
    <col min="5" max="5" width="4.5703125" style="24" bestFit="1" customWidth="1"/>
    <col min="6" max="6" width="10.140625" style="24" bestFit="1" customWidth="1"/>
    <col min="7" max="7" width="12.85546875" style="24" bestFit="1" customWidth="1"/>
    <col min="8" max="8" width="16.42578125" style="24" bestFit="1" customWidth="1"/>
    <col min="9" max="9" width="11" style="24" bestFit="1" customWidth="1"/>
    <col min="10" max="10" width="13.42578125" style="24" bestFit="1" customWidth="1"/>
    <col min="11" max="11" width="9.28515625" style="24" bestFit="1" customWidth="1"/>
    <col min="12" max="12" width="10.140625" style="24" bestFit="1" customWidth="1"/>
    <col min="13" max="13" width="5.42578125" style="24" bestFit="1" customWidth="1"/>
    <col min="14" max="14" width="12.140625" style="24" bestFit="1" customWidth="1"/>
    <col min="15" max="15" width="7.28515625" style="24" bestFit="1" customWidth="1"/>
    <col min="16" max="16" width="12.85546875" style="24" bestFit="1" customWidth="1"/>
    <col min="17" max="17" width="11" style="24" bestFit="1" customWidth="1"/>
    <col min="18" max="18" width="11.5703125" style="24" bestFit="1" customWidth="1"/>
    <col min="19" max="23" width="9.140625" style="24"/>
    <col min="24" max="24" width="9.28515625" style="24" bestFit="1" customWidth="1"/>
    <col min="25" max="27" width="11.140625" style="24" customWidth="1"/>
    <col min="28" max="28" width="13.7109375" style="24" customWidth="1"/>
    <col min="29" max="256" width="9.140625" style="24"/>
    <col min="257" max="257" width="2.28515625" style="24" customWidth="1"/>
    <col min="258" max="258" width="20" style="24" customWidth="1"/>
    <col min="259" max="259" width="29.140625" style="24" bestFit="1" customWidth="1"/>
    <col min="260" max="260" width="11.85546875" style="24" bestFit="1" customWidth="1"/>
    <col min="261" max="261" width="4.5703125" style="24" bestFit="1" customWidth="1"/>
    <col min="262" max="262" width="10.140625" style="24" bestFit="1" customWidth="1"/>
    <col min="263" max="263" width="12.85546875" style="24" bestFit="1" customWidth="1"/>
    <col min="264" max="264" width="16.42578125" style="24" bestFit="1" customWidth="1"/>
    <col min="265" max="265" width="11" style="24" bestFit="1" customWidth="1"/>
    <col min="266" max="266" width="13.42578125" style="24" bestFit="1" customWidth="1"/>
    <col min="267" max="267" width="9.28515625" style="24" bestFit="1" customWidth="1"/>
    <col min="268" max="268" width="10.140625" style="24" bestFit="1" customWidth="1"/>
    <col min="269" max="269" width="5.42578125" style="24" bestFit="1" customWidth="1"/>
    <col min="270" max="270" width="12.140625" style="24" bestFit="1" customWidth="1"/>
    <col min="271" max="271" width="7.28515625" style="24" bestFit="1" customWidth="1"/>
    <col min="272" max="272" width="12.85546875" style="24" bestFit="1" customWidth="1"/>
    <col min="273" max="273" width="11" style="24" bestFit="1" customWidth="1"/>
    <col min="274" max="274" width="11.5703125" style="24" bestFit="1" customWidth="1"/>
    <col min="275" max="279" width="9.140625" style="24"/>
    <col min="280" max="280" width="9.28515625" style="24" bestFit="1" customWidth="1"/>
    <col min="281" max="283" width="11.140625" style="24" customWidth="1"/>
    <col min="284" max="284" width="13.7109375" style="24" customWidth="1"/>
    <col min="285" max="512" width="9.140625" style="24"/>
    <col min="513" max="513" width="2.28515625" style="24" customWidth="1"/>
    <col min="514" max="514" width="20" style="24" customWidth="1"/>
    <col min="515" max="515" width="29.140625" style="24" bestFit="1" customWidth="1"/>
    <col min="516" max="516" width="11.85546875" style="24" bestFit="1" customWidth="1"/>
    <col min="517" max="517" width="4.5703125" style="24" bestFit="1" customWidth="1"/>
    <col min="518" max="518" width="10.140625" style="24" bestFit="1" customWidth="1"/>
    <col min="519" max="519" width="12.85546875" style="24" bestFit="1" customWidth="1"/>
    <col min="520" max="520" width="16.42578125" style="24" bestFit="1" customWidth="1"/>
    <col min="521" max="521" width="11" style="24" bestFit="1" customWidth="1"/>
    <col min="522" max="522" width="13.42578125" style="24" bestFit="1" customWidth="1"/>
    <col min="523" max="523" width="9.28515625" style="24" bestFit="1" customWidth="1"/>
    <col min="524" max="524" width="10.140625" style="24" bestFit="1" customWidth="1"/>
    <col min="525" max="525" width="5.42578125" style="24" bestFit="1" customWidth="1"/>
    <col min="526" max="526" width="12.140625" style="24" bestFit="1" customWidth="1"/>
    <col min="527" max="527" width="7.28515625" style="24" bestFit="1" customWidth="1"/>
    <col min="528" max="528" width="12.85546875" style="24" bestFit="1" customWidth="1"/>
    <col min="529" max="529" width="11" style="24" bestFit="1" customWidth="1"/>
    <col min="530" max="530" width="11.5703125" style="24" bestFit="1" customWidth="1"/>
    <col min="531" max="535" width="9.140625" style="24"/>
    <col min="536" max="536" width="9.28515625" style="24" bestFit="1" customWidth="1"/>
    <col min="537" max="539" width="11.140625" style="24" customWidth="1"/>
    <col min="540" max="540" width="13.7109375" style="24" customWidth="1"/>
    <col min="541" max="768" width="9.140625" style="24"/>
    <col min="769" max="769" width="2.28515625" style="24" customWidth="1"/>
    <col min="770" max="770" width="20" style="24" customWidth="1"/>
    <col min="771" max="771" width="29.140625" style="24" bestFit="1" customWidth="1"/>
    <col min="772" max="772" width="11.85546875" style="24" bestFit="1" customWidth="1"/>
    <col min="773" max="773" width="4.5703125" style="24" bestFit="1" customWidth="1"/>
    <col min="774" max="774" width="10.140625" style="24" bestFit="1" customWidth="1"/>
    <col min="775" max="775" width="12.85546875" style="24" bestFit="1" customWidth="1"/>
    <col min="776" max="776" width="16.42578125" style="24" bestFit="1" customWidth="1"/>
    <col min="777" max="777" width="11" style="24" bestFit="1" customWidth="1"/>
    <col min="778" max="778" width="13.42578125" style="24" bestFit="1" customWidth="1"/>
    <col min="779" max="779" width="9.28515625" style="24" bestFit="1" customWidth="1"/>
    <col min="780" max="780" width="10.140625" style="24" bestFit="1" customWidth="1"/>
    <col min="781" max="781" width="5.42578125" style="24" bestFit="1" customWidth="1"/>
    <col min="782" max="782" width="12.140625" style="24" bestFit="1" customWidth="1"/>
    <col min="783" max="783" width="7.28515625" style="24" bestFit="1" customWidth="1"/>
    <col min="784" max="784" width="12.85546875" style="24" bestFit="1" customWidth="1"/>
    <col min="785" max="785" width="11" style="24" bestFit="1" customWidth="1"/>
    <col min="786" max="786" width="11.5703125" style="24" bestFit="1" customWidth="1"/>
    <col min="787" max="791" width="9.140625" style="24"/>
    <col min="792" max="792" width="9.28515625" style="24" bestFit="1" customWidth="1"/>
    <col min="793" max="795" width="11.140625" style="24" customWidth="1"/>
    <col min="796" max="796" width="13.7109375" style="24" customWidth="1"/>
    <col min="797" max="1024" width="9.140625" style="24"/>
    <col min="1025" max="1025" width="2.28515625" style="24" customWidth="1"/>
    <col min="1026" max="1026" width="20" style="24" customWidth="1"/>
    <col min="1027" max="1027" width="29.140625" style="24" bestFit="1" customWidth="1"/>
    <col min="1028" max="1028" width="11.85546875" style="24" bestFit="1" customWidth="1"/>
    <col min="1029" max="1029" width="4.5703125" style="24" bestFit="1" customWidth="1"/>
    <col min="1030" max="1030" width="10.140625" style="24" bestFit="1" customWidth="1"/>
    <col min="1031" max="1031" width="12.85546875" style="24" bestFit="1" customWidth="1"/>
    <col min="1032" max="1032" width="16.42578125" style="24" bestFit="1" customWidth="1"/>
    <col min="1033" max="1033" width="11" style="24" bestFit="1" customWidth="1"/>
    <col min="1034" max="1034" width="13.42578125" style="24" bestFit="1" customWidth="1"/>
    <col min="1035" max="1035" width="9.28515625" style="24" bestFit="1" customWidth="1"/>
    <col min="1036" max="1036" width="10.140625" style="24" bestFit="1" customWidth="1"/>
    <col min="1037" max="1037" width="5.42578125" style="24" bestFit="1" customWidth="1"/>
    <col min="1038" max="1038" width="12.140625" style="24" bestFit="1" customWidth="1"/>
    <col min="1039" max="1039" width="7.28515625" style="24" bestFit="1" customWidth="1"/>
    <col min="1040" max="1040" width="12.85546875" style="24" bestFit="1" customWidth="1"/>
    <col min="1041" max="1041" width="11" style="24" bestFit="1" customWidth="1"/>
    <col min="1042" max="1042" width="11.5703125" style="24" bestFit="1" customWidth="1"/>
    <col min="1043" max="1047" width="9.140625" style="24"/>
    <col min="1048" max="1048" width="9.28515625" style="24" bestFit="1" customWidth="1"/>
    <col min="1049" max="1051" width="11.140625" style="24" customWidth="1"/>
    <col min="1052" max="1052" width="13.7109375" style="24" customWidth="1"/>
    <col min="1053" max="1280" width="9.140625" style="24"/>
    <col min="1281" max="1281" width="2.28515625" style="24" customWidth="1"/>
    <col min="1282" max="1282" width="20" style="24" customWidth="1"/>
    <col min="1283" max="1283" width="29.140625" style="24" bestFit="1" customWidth="1"/>
    <col min="1284" max="1284" width="11.85546875" style="24" bestFit="1" customWidth="1"/>
    <col min="1285" max="1285" width="4.5703125" style="24" bestFit="1" customWidth="1"/>
    <col min="1286" max="1286" width="10.140625" style="24" bestFit="1" customWidth="1"/>
    <col min="1287" max="1287" width="12.85546875" style="24" bestFit="1" customWidth="1"/>
    <col min="1288" max="1288" width="16.42578125" style="24" bestFit="1" customWidth="1"/>
    <col min="1289" max="1289" width="11" style="24" bestFit="1" customWidth="1"/>
    <col min="1290" max="1290" width="13.42578125" style="24" bestFit="1" customWidth="1"/>
    <col min="1291" max="1291" width="9.28515625" style="24" bestFit="1" customWidth="1"/>
    <col min="1292" max="1292" width="10.140625" style="24" bestFit="1" customWidth="1"/>
    <col min="1293" max="1293" width="5.42578125" style="24" bestFit="1" customWidth="1"/>
    <col min="1294" max="1294" width="12.140625" style="24" bestFit="1" customWidth="1"/>
    <col min="1295" max="1295" width="7.28515625" style="24" bestFit="1" customWidth="1"/>
    <col min="1296" max="1296" width="12.85546875" style="24" bestFit="1" customWidth="1"/>
    <col min="1297" max="1297" width="11" style="24" bestFit="1" customWidth="1"/>
    <col min="1298" max="1298" width="11.5703125" style="24" bestFit="1" customWidth="1"/>
    <col min="1299" max="1303" width="9.140625" style="24"/>
    <col min="1304" max="1304" width="9.28515625" style="24" bestFit="1" customWidth="1"/>
    <col min="1305" max="1307" width="11.140625" style="24" customWidth="1"/>
    <col min="1308" max="1308" width="13.7109375" style="24" customWidth="1"/>
    <col min="1309" max="1536" width="9.140625" style="24"/>
    <col min="1537" max="1537" width="2.28515625" style="24" customWidth="1"/>
    <col min="1538" max="1538" width="20" style="24" customWidth="1"/>
    <col min="1539" max="1539" width="29.140625" style="24" bestFit="1" customWidth="1"/>
    <col min="1540" max="1540" width="11.85546875" style="24" bestFit="1" customWidth="1"/>
    <col min="1541" max="1541" width="4.5703125" style="24" bestFit="1" customWidth="1"/>
    <col min="1542" max="1542" width="10.140625" style="24" bestFit="1" customWidth="1"/>
    <col min="1543" max="1543" width="12.85546875" style="24" bestFit="1" customWidth="1"/>
    <col min="1544" max="1544" width="16.42578125" style="24" bestFit="1" customWidth="1"/>
    <col min="1545" max="1545" width="11" style="24" bestFit="1" customWidth="1"/>
    <col min="1546" max="1546" width="13.42578125" style="24" bestFit="1" customWidth="1"/>
    <col min="1547" max="1547" width="9.28515625" style="24" bestFit="1" customWidth="1"/>
    <col min="1548" max="1548" width="10.140625" style="24" bestFit="1" customWidth="1"/>
    <col min="1549" max="1549" width="5.42578125" style="24" bestFit="1" customWidth="1"/>
    <col min="1550" max="1550" width="12.140625" style="24" bestFit="1" customWidth="1"/>
    <col min="1551" max="1551" width="7.28515625" style="24" bestFit="1" customWidth="1"/>
    <col min="1552" max="1552" width="12.85546875" style="24" bestFit="1" customWidth="1"/>
    <col min="1553" max="1553" width="11" style="24" bestFit="1" customWidth="1"/>
    <col min="1554" max="1554" width="11.5703125" style="24" bestFit="1" customWidth="1"/>
    <col min="1555" max="1559" width="9.140625" style="24"/>
    <col min="1560" max="1560" width="9.28515625" style="24" bestFit="1" customWidth="1"/>
    <col min="1561" max="1563" width="11.140625" style="24" customWidth="1"/>
    <col min="1564" max="1564" width="13.7109375" style="24" customWidth="1"/>
    <col min="1565" max="1792" width="9.140625" style="24"/>
    <col min="1793" max="1793" width="2.28515625" style="24" customWidth="1"/>
    <col min="1794" max="1794" width="20" style="24" customWidth="1"/>
    <col min="1795" max="1795" width="29.140625" style="24" bestFit="1" customWidth="1"/>
    <col min="1796" max="1796" width="11.85546875" style="24" bestFit="1" customWidth="1"/>
    <col min="1797" max="1797" width="4.5703125" style="24" bestFit="1" customWidth="1"/>
    <col min="1798" max="1798" width="10.140625" style="24" bestFit="1" customWidth="1"/>
    <col min="1799" max="1799" width="12.85546875" style="24" bestFit="1" customWidth="1"/>
    <col min="1800" max="1800" width="16.42578125" style="24" bestFit="1" customWidth="1"/>
    <col min="1801" max="1801" width="11" style="24" bestFit="1" customWidth="1"/>
    <col min="1802" max="1802" width="13.42578125" style="24" bestFit="1" customWidth="1"/>
    <col min="1803" max="1803" width="9.28515625" style="24" bestFit="1" customWidth="1"/>
    <col min="1804" max="1804" width="10.140625" style="24" bestFit="1" customWidth="1"/>
    <col min="1805" max="1805" width="5.42578125" style="24" bestFit="1" customWidth="1"/>
    <col min="1806" max="1806" width="12.140625" style="24" bestFit="1" customWidth="1"/>
    <col min="1807" max="1807" width="7.28515625" style="24" bestFit="1" customWidth="1"/>
    <col min="1808" max="1808" width="12.85546875" style="24" bestFit="1" customWidth="1"/>
    <col min="1809" max="1809" width="11" style="24" bestFit="1" customWidth="1"/>
    <col min="1810" max="1810" width="11.5703125" style="24" bestFit="1" customWidth="1"/>
    <col min="1811" max="1815" width="9.140625" style="24"/>
    <col min="1816" max="1816" width="9.28515625" style="24" bestFit="1" customWidth="1"/>
    <col min="1817" max="1819" width="11.140625" style="24" customWidth="1"/>
    <col min="1820" max="1820" width="13.7109375" style="24" customWidth="1"/>
    <col min="1821" max="2048" width="9.140625" style="24"/>
    <col min="2049" max="2049" width="2.28515625" style="24" customWidth="1"/>
    <col min="2050" max="2050" width="20" style="24" customWidth="1"/>
    <col min="2051" max="2051" width="29.140625" style="24" bestFit="1" customWidth="1"/>
    <col min="2052" max="2052" width="11.85546875" style="24" bestFit="1" customWidth="1"/>
    <col min="2053" max="2053" width="4.5703125" style="24" bestFit="1" customWidth="1"/>
    <col min="2054" max="2054" width="10.140625" style="24" bestFit="1" customWidth="1"/>
    <col min="2055" max="2055" width="12.85546875" style="24" bestFit="1" customWidth="1"/>
    <col min="2056" max="2056" width="16.42578125" style="24" bestFit="1" customWidth="1"/>
    <col min="2057" max="2057" width="11" style="24" bestFit="1" customWidth="1"/>
    <col min="2058" max="2058" width="13.42578125" style="24" bestFit="1" customWidth="1"/>
    <col min="2059" max="2059" width="9.28515625" style="24" bestFit="1" customWidth="1"/>
    <col min="2060" max="2060" width="10.140625" style="24" bestFit="1" customWidth="1"/>
    <col min="2061" max="2061" width="5.42578125" style="24" bestFit="1" customWidth="1"/>
    <col min="2062" max="2062" width="12.140625" style="24" bestFit="1" customWidth="1"/>
    <col min="2063" max="2063" width="7.28515625" style="24" bestFit="1" customWidth="1"/>
    <col min="2064" max="2064" width="12.85546875" style="24" bestFit="1" customWidth="1"/>
    <col min="2065" max="2065" width="11" style="24" bestFit="1" customWidth="1"/>
    <col min="2066" max="2066" width="11.5703125" style="24" bestFit="1" customWidth="1"/>
    <col min="2067" max="2071" width="9.140625" style="24"/>
    <col min="2072" max="2072" width="9.28515625" style="24" bestFit="1" customWidth="1"/>
    <col min="2073" max="2075" width="11.140625" style="24" customWidth="1"/>
    <col min="2076" max="2076" width="13.7109375" style="24" customWidth="1"/>
    <col min="2077" max="2304" width="9.140625" style="24"/>
    <col min="2305" max="2305" width="2.28515625" style="24" customWidth="1"/>
    <col min="2306" max="2306" width="20" style="24" customWidth="1"/>
    <col min="2307" max="2307" width="29.140625" style="24" bestFit="1" customWidth="1"/>
    <col min="2308" max="2308" width="11.85546875" style="24" bestFit="1" customWidth="1"/>
    <col min="2309" max="2309" width="4.5703125" style="24" bestFit="1" customWidth="1"/>
    <col min="2310" max="2310" width="10.140625" style="24" bestFit="1" customWidth="1"/>
    <col min="2311" max="2311" width="12.85546875" style="24" bestFit="1" customWidth="1"/>
    <col min="2312" max="2312" width="16.42578125" style="24" bestFit="1" customWidth="1"/>
    <col min="2313" max="2313" width="11" style="24" bestFit="1" customWidth="1"/>
    <col min="2314" max="2314" width="13.42578125" style="24" bestFit="1" customWidth="1"/>
    <col min="2315" max="2315" width="9.28515625" style="24" bestFit="1" customWidth="1"/>
    <col min="2316" max="2316" width="10.140625" style="24" bestFit="1" customWidth="1"/>
    <col min="2317" max="2317" width="5.42578125" style="24" bestFit="1" customWidth="1"/>
    <col min="2318" max="2318" width="12.140625" style="24" bestFit="1" customWidth="1"/>
    <col min="2319" max="2319" width="7.28515625" style="24" bestFit="1" customWidth="1"/>
    <col min="2320" max="2320" width="12.85546875" style="24" bestFit="1" customWidth="1"/>
    <col min="2321" max="2321" width="11" style="24" bestFit="1" customWidth="1"/>
    <col min="2322" max="2322" width="11.5703125" style="24" bestFit="1" customWidth="1"/>
    <col min="2323" max="2327" width="9.140625" style="24"/>
    <col min="2328" max="2328" width="9.28515625" style="24" bestFit="1" customWidth="1"/>
    <col min="2329" max="2331" width="11.140625" style="24" customWidth="1"/>
    <col min="2332" max="2332" width="13.7109375" style="24" customWidth="1"/>
    <col min="2333" max="2560" width="9.140625" style="24"/>
    <col min="2561" max="2561" width="2.28515625" style="24" customWidth="1"/>
    <col min="2562" max="2562" width="20" style="24" customWidth="1"/>
    <col min="2563" max="2563" width="29.140625" style="24" bestFit="1" customWidth="1"/>
    <col min="2564" max="2564" width="11.85546875" style="24" bestFit="1" customWidth="1"/>
    <col min="2565" max="2565" width="4.5703125" style="24" bestFit="1" customWidth="1"/>
    <col min="2566" max="2566" width="10.140625" style="24" bestFit="1" customWidth="1"/>
    <col min="2567" max="2567" width="12.85546875" style="24" bestFit="1" customWidth="1"/>
    <col min="2568" max="2568" width="16.42578125" style="24" bestFit="1" customWidth="1"/>
    <col min="2569" max="2569" width="11" style="24" bestFit="1" customWidth="1"/>
    <col min="2570" max="2570" width="13.42578125" style="24" bestFit="1" customWidth="1"/>
    <col min="2571" max="2571" width="9.28515625" style="24" bestFit="1" customWidth="1"/>
    <col min="2572" max="2572" width="10.140625" style="24" bestFit="1" customWidth="1"/>
    <col min="2573" max="2573" width="5.42578125" style="24" bestFit="1" customWidth="1"/>
    <col min="2574" max="2574" width="12.140625" style="24" bestFit="1" customWidth="1"/>
    <col min="2575" max="2575" width="7.28515625" style="24" bestFit="1" customWidth="1"/>
    <col min="2576" max="2576" width="12.85546875" style="24" bestFit="1" customWidth="1"/>
    <col min="2577" max="2577" width="11" style="24" bestFit="1" customWidth="1"/>
    <col min="2578" max="2578" width="11.5703125" style="24" bestFit="1" customWidth="1"/>
    <col min="2579" max="2583" width="9.140625" style="24"/>
    <col min="2584" max="2584" width="9.28515625" style="24" bestFit="1" customWidth="1"/>
    <col min="2585" max="2587" width="11.140625" style="24" customWidth="1"/>
    <col min="2588" max="2588" width="13.7109375" style="24" customWidth="1"/>
    <col min="2589" max="2816" width="9.140625" style="24"/>
    <col min="2817" max="2817" width="2.28515625" style="24" customWidth="1"/>
    <col min="2818" max="2818" width="20" style="24" customWidth="1"/>
    <col min="2819" max="2819" width="29.140625" style="24" bestFit="1" customWidth="1"/>
    <col min="2820" max="2820" width="11.85546875" style="24" bestFit="1" customWidth="1"/>
    <col min="2821" max="2821" width="4.5703125" style="24" bestFit="1" customWidth="1"/>
    <col min="2822" max="2822" width="10.140625" style="24" bestFit="1" customWidth="1"/>
    <col min="2823" max="2823" width="12.85546875" style="24" bestFit="1" customWidth="1"/>
    <col min="2824" max="2824" width="16.42578125" style="24" bestFit="1" customWidth="1"/>
    <col min="2825" max="2825" width="11" style="24" bestFit="1" customWidth="1"/>
    <col min="2826" max="2826" width="13.42578125" style="24" bestFit="1" customWidth="1"/>
    <col min="2827" max="2827" width="9.28515625" style="24" bestFit="1" customWidth="1"/>
    <col min="2828" max="2828" width="10.140625" style="24" bestFit="1" customWidth="1"/>
    <col min="2829" max="2829" width="5.42578125" style="24" bestFit="1" customWidth="1"/>
    <col min="2830" max="2830" width="12.140625" style="24" bestFit="1" customWidth="1"/>
    <col min="2831" max="2831" width="7.28515625" style="24" bestFit="1" customWidth="1"/>
    <col min="2832" max="2832" width="12.85546875" style="24" bestFit="1" customWidth="1"/>
    <col min="2833" max="2833" width="11" style="24" bestFit="1" customWidth="1"/>
    <col min="2834" max="2834" width="11.5703125" style="24" bestFit="1" customWidth="1"/>
    <col min="2835" max="2839" width="9.140625" style="24"/>
    <col min="2840" max="2840" width="9.28515625" style="24" bestFit="1" customWidth="1"/>
    <col min="2841" max="2843" width="11.140625" style="24" customWidth="1"/>
    <col min="2844" max="2844" width="13.7109375" style="24" customWidth="1"/>
    <col min="2845" max="3072" width="9.140625" style="24"/>
    <col min="3073" max="3073" width="2.28515625" style="24" customWidth="1"/>
    <col min="3074" max="3074" width="20" style="24" customWidth="1"/>
    <col min="3075" max="3075" width="29.140625" style="24" bestFit="1" customWidth="1"/>
    <col min="3076" max="3076" width="11.85546875" style="24" bestFit="1" customWidth="1"/>
    <col min="3077" max="3077" width="4.5703125" style="24" bestFit="1" customWidth="1"/>
    <col min="3078" max="3078" width="10.140625" style="24" bestFit="1" customWidth="1"/>
    <col min="3079" max="3079" width="12.85546875" style="24" bestFit="1" customWidth="1"/>
    <col min="3080" max="3080" width="16.42578125" style="24" bestFit="1" customWidth="1"/>
    <col min="3081" max="3081" width="11" style="24" bestFit="1" customWidth="1"/>
    <col min="3082" max="3082" width="13.42578125" style="24" bestFit="1" customWidth="1"/>
    <col min="3083" max="3083" width="9.28515625" style="24" bestFit="1" customWidth="1"/>
    <col min="3084" max="3084" width="10.140625" style="24" bestFit="1" customWidth="1"/>
    <col min="3085" max="3085" width="5.42578125" style="24" bestFit="1" customWidth="1"/>
    <col min="3086" max="3086" width="12.140625" style="24" bestFit="1" customWidth="1"/>
    <col min="3087" max="3087" width="7.28515625" style="24" bestFit="1" customWidth="1"/>
    <col min="3088" max="3088" width="12.85546875" style="24" bestFit="1" customWidth="1"/>
    <col min="3089" max="3089" width="11" style="24" bestFit="1" customWidth="1"/>
    <col min="3090" max="3090" width="11.5703125" style="24" bestFit="1" customWidth="1"/>
    <col min="3091" max="3095" width="9.140625" style="24"/>
    <col min="3096" max="3096" width="9.28515625" style="24" bestFit="1" customWidth="1"/>
    <col min="3097" max="3099" width="11.140625" style="24" customWidth="1"/>
    <col min="3100" max="3100" width="13.7109375" style="24" customWidth="1"/>
    <col min="3101" max="3328" width="9.140625" style="24"/>
    <col min="3329" max="3329" width="2.28515625" style="24" customWidth="1"/>
    <col min="3330" max="3330" width="20" style="24" customWidth="1"/>
    <col min="3331" max="3331" width="29.140625" style="24" bestFit="1" customWidth="1"/>
    <col min="3332" max="3332" width="11.85546875" style="24" bestFit="1" customWidth="1"/>
    <col min="3333" max="3333" width="4.5703125" style="24" bestFit="1" customWidth="1"/>
    <col min="3334" max="3334" width="10.140625" style="24" bestFit="1" customWidth="1"/>
    <col min="3335" max="3335" width="12.85546875" style="24" bestFit="1" customWidth="1"/>
    <col min="3336" max="3336" width="16.42578125" style="24" bestFit="1" customWidth="1"/>
    <col min="3337" max="3337" width="11" style="24" bestFit="1" customWidth="1"/>
    <col min="3338" max="3338" width="13.42578125" style="24" bestFit="1" customWidth="1"/>
    <col min="3339" max="3339" width="9.28515625" style="24" bestFit="1" customWidth="1"/>
    <col min="3340" max="3340" width="10.140625" style="24" bestFit="1" customWidth="1"/>
    <col min="3341" max="3341" width="5.42578125" style="24" bestFit="1" customWidth="1"/>
    <col min="3342" max="3342" width="12.140625" style="24" bestFit="1" customWidth="1"/>
    <col min="3343" max="3343" width="7.28515625" style="24" bestFit="1" customWidth="1"/>
    <col min="3344" max="3344" width="12.85546875" style="24" bestFit="1" customWidth="1"/>
    <col min="3345" max="3345" width="11" style="24" bestFit="1" customWidth="1"/>
    <col min="3346" max="3346" width="11.5703125" style="24" bestFit="1" customWidth="1"/>
    <col min="3347" max="3351" width="9.140625" style="24"/>
    <col min="3352" max="3352" width="9.28515625" style="24" bestFit="1" customWidth="1"/>
    <col min="3353" max="3355" width="11.140625" style="24" customWidth="1"/>
    <col min="3356" max="3356" width="13.7109375" style="24" customWidth="1"/>
    <col min="3357" max="3584" width="9.140625" style="24"/>
    <col min="3585" max="3585" width="2.28515625" style="24" customWidth="1"/>
    <col min="3586" max="3586" width="20" style="24" customWidth="1"/>
    <col min="3587" max="3587" width="29.140625" style="24" bestFit="1" customWidth="1"/>
    <col min="3588" max="3588" width="11.85546875" style="24" bestFit="1" customWidth="1"/>
    <col min="3589" max="3589" width="4.5703125" style="24" bestFit="1" customWidth="1"/>
    <col min="3590" max="3590" width="10.140625" style="24" bestFit="1" customWidth="1"/>
    <col min="3591" max="3591" width="12.85546875" style="24" bestFit="1" customWidth="1"/>
    <col min="3592" max="3592" width="16.42578125" style="24" bestFit="1" customWidth="1"/>
    <col min="3593" max="3593" width="11" style="24" bestFit="1" customWidth="1"/>
    <col min="3594" max="3594" width="13.42578125" style="24" bestFit="1" customWidth="1"/>
    <col min="3595" max="3595" width="9.28515625" style="24" bestFit="1" customWidth="1"/>
    <col min="3596" max="3596" width="10.140625" style="24" bestFit="1" customWidth="1"/>
    <col min="3597" max="3597" width="5.42578125" style="24" bestFit="1" customWidth="1"/>
    <col min="3598" max="3598" width="12.140625" style="24" bestFit="1" customWidth="1"/>
    <col min="3599" max="3599" width="7.28515625" style="24" bestFit="1" customWidth="1"/>
    <col min="3600" max="3600" width="12.85546875" style="24" bestFit="1" customWidth="1"/>
    <col min="3601" max="3601" width="11" style="24" bestFit="1" customWidth="1"/>
    <col min="3602" max="3602" width="11.5703125" style="24" bestFit="1" customWidth="1"/>
    <col min="3603" max="3607" width="9.140625" style="24"/>
    <col min="3608" max="3608" width="9.28515625" style="24" bestFit="1" customWidth="1"/>
    <col min="3609" max="3611" width="11.140625" style="24" customWidth="1"/>
    <col min="3612" max="3612" width="13.7109375" style="24" customWidth="1"/>
    <col min="3613" max="3840" width="9.140625" style="24"/>
    <col min="3841" max="3841" width="2.28515625" style="24" customWidth="1"/>
    <col min="3842" max="3842" width="20" style="24" customWidth="1"/>
    <col min="3843" max="3843" width="29.140625" style="24" bestFit="1" customWidth="1"/>
    <col min="3844" max="3844" width="11.85546875" style="24" bestFit="1" customWidth="1"/>
    <col min="3845" max="3845" width="4.5703125" style="24" bestFit="1" customWidth="1"/>
    <col min="3846" max="3846" width="10.140625" style="24" bestFit="1" customWidth="1"/>
    <col min="3847" max="3847" width="12.85546875" style="24" bestFit="1" customWidth="1"/>
    <col min="3848" max="3848" width="16.42578125" style="24" bestFit="1" customWidth="1"/>
    <col min="3849" max="3849" width="11" style="24" bestFit="1" customWidth="1"/>
    <col min="3850" max="3850" width="13.42578125" style="24" bestFit="1" customWidth="1"/>
    <col min="3851" max="3851" width="9.28515625" style="24" bestFit="1" customWidth="1"/>
    <col min="3852" max="3852" width="10.140625" style="24" bestFit="1" customWidth="1"/>
    <col min="3853" max="3853" width="5.42578125" style="24" bestFit="1" customWidth="1"/>
    <col min="3854" max="3854" width="12.140625" style="24" bestFit="1" customWidth="1"/>
    <col min="3855" max="3855" width="7.28515625" style="24" bestFit="1" customWidth="1"/>
    <col min="3856" max="3856" width="12.85546875" style="24" bestFit="1" customWidth="1"/>
    <col min="3857" max="3857" width="11" style="24" bestFit="1" customWidth="1"/>
    <col min="3858" max="3858" width="11.5703125" style="24" bestFit="1" customWidth="1"/>
    <col min="3859" max="3863" width="9.140625" style="24"/>
    <col min="3864" max="3864" width="9.28515625" style="24" bestFit="1" customWidth="1"/>
    <col min="3865" max="3867" width="11.140625" style="24" customWidth="1"/>
    <col min="3868" max="3868" width="13.7109375" style="24" customWidth="1"/>
    <col min="3869" max="4096" width="9.140625" style="24"/>
    <col min="4097" max="4097" width="2.28515625" style="24" customWidth="1"/>
    <col min="4098" max="4098" width="20" style="24" customWidth="1"/>
    <col min="4099" max="4099" width="29.140625" style="24" bestFit="1" customWidth="1"/>
    <col min="4100" max="4100" width="11.85546875" style="24" bestFit="1" customWidth="1"/>
    <col min="4101" max="4101" width="4.5703125" style="24" bestFit="1" customWidth="1"/>
    <col min="4102" max="4102" width="10.140625" style="24" bestFit="1" customWidth="1"/>
    <col min="4103" max="4103" width="12.85546875" style="24" bestFit="1" customWidth="1"/>
    <col min="4104" max="4104" width="16.42578125" style="24" bestFit="1" customWidth="1"/>
    <col min="4105" max="4105" width="11" style="24" bestFit="1" customWidth="1"/>
    <col min="4106" max="4106" width="13.42578125" style="24" bestFit="1" customWidth="1"/>
    <col min="4107" max="4107" width="9.28515625" style="24" bestFit="1" customWidth="1"/>
    <col min="4108" max="4108" width="10.140625" style="24" bestFit="1" customWidth="1"/>
    <col min="4109" max="4109" width="5.42578125" style="24" bestFit="1" customWidth="1"/>
    <col min="4110" max="4110" width="12.140625" style="24" bestFit="1" customWidth="1"/>
    <col min="4111" max="4111" width="7.28515625" style="24" bestFit="1" customWidth="1"/>
    <col min="4112" max="4112" width="12.85546875" style="24" bestFit="1" customWidth="1"/>
    <col min="4113" max="4113" width="11" style="24" bestFit="1" customWidth="1"/>
    <col min="4114" max="4114" width="11.5703125" style="24" bestFit="1" customWidth="1"/>
    <col min="4115" max="4119" width="9.140625" style="24"/>
    <col min="4120" max="4120" width="9.28515625" style="24" bestFit="1" customWidth="1"/>
    <col min="4121" max="4123" width="11.140625" style="24" customWidth="1"/>
    <col min="4124" max="4124" width="13.7109375" style="24" customWidth="1"/>
    <col min="4125" max="4352" width="9.140625" style="24"/>
    <col min="4353" max="4353" width="2.28515625" style="24" customWidth="1"/>
    <col min="4354" max="4354" width="20" style="24" customWidth="1"/>
    <col min="4355" max="4355" width="29.140625" style="24" bestFit="1" customWidth="1"/>
    <col min="4356" max="4356" width="11.85546875" style="24" bestFit="1" customWidth="1"/>
    <col min="4357" max="4357" width="4.5703125" style="24" bestFit="1" customWidth="1"/>
    <col min="4358" max="4358" width="10.140625" style="24" bestFit="1" customWidth="1"/>
    <col min="4359" max="4359" width="12.85546875" style="24" bestFit="1" customWidth="1"/>
    <col min="4360" max="4360" width="16.42578125" style="24" bestFit="1" customWidth="1"/>
    <col min="4361" max="4361" width="11" style="24" bestFit="1" customWidth="1"/>
    <col min="4362" max="4362" width="13.42578125" style="24" bestFit="1" customWidth="1"/>
    <col min="4363" max="4363" width="9.28515625" style="24" bestFit="1" customWidth="1"/>
    <col min="4364" max="4364" width="10.140625" style="24" bestFit="1" customWidth="1"/>
    <col min="4365" max="4365" width="5.42578125" style="24" bestFit="1" customWidth="1"/>
    <col min="4366" max="4366" width="12.140625" style="24" bestFit="1" customWidth="1"/>
    <col min="4367" max="4367" width="7.28515625" style="24" bestFit="1" customWidth="1"/>
    <col min="4368" max="4368" width="12.85546875" style="24" bestFit="1" customWidth="1"/>
    <col min="4369" max="4369" width="11" style="24" bestFit="1" customWidth="1"/>
    <col min="4370" max="4370" width="11.5703125" style="24" bestFit="1" customWidth="1"/>
    <col min="4371" max="4375" width="9.140625" style="24"/>
    <col min="4376" max="4376" width="9.28515625" style="24" bestFit="1" customWidth="1"/>
    <col min="4377" max="4379" width="11.140625" style="24" customWidth="1"/>
    <col min="4380" max="4380" width="13.7109375" style="24" customWidth="1"/>
    <col min="4381" max="4608" width="9.140625" style="24"/>
    <col min="4609" max="4609" width="2.28515625" style="24" customWidth="1"/>
    <col min="4610" max="4610" width="20" style="24" customWidth="1"/>
    <col min="4611" max="4611" width="29.140625" style="24" bestFit="1" customWidth="1"/>
    <col min="4612" max="4612" width="11.85546875" style="24" bestFit="1" customWidth="1"/>
    <col min="4613" max="4613" width="4.5703125" style="24" bestFit="1" customWidth="1"/>
    <col min="4614" max="4614" width="10.140625" style="24" bestFit="1" customWidth="1"/>
    <col min="4615" max="4615" width="12.85546875" style="24" bestFit="1" customWidth="1"/>
    <col min="4616" max="4616" width="16.42578125" style="24" bestFit="1" customWidth="1"/>
    <col min="4617" max="4617" width="11" style="24" bestFit="1" customWidth="1"/>
    <col min="4618" max="4618" width="13.42578125" style="24" bestFit="1" customWidth="1"/>
    <col min="4619" max="4619" width="9.28515625" style="24" bestFit="1" customWidth="1"/>
    <col min="4620" max="4620" width="10.140625" style="24" bestFit="1" customWidth="1"/>
    <col min="4621" max="4621" width="5.42578125" style="24" bestFit="1" customWidth="1"/>
    <col min="4622" max="4622" width="12.140625" style="24" bestFit="1" customWidth="1"/>
    <col min="4623" max="4623" width="7.28515625" style="24" bestFit="1" customWidth="1"/>
    <col min="4624" max="4624" width="12.85546875" style="24" bestFit="1" customWidth="1"/>
    <col min="4625" max="4625" width="11" style="24" bestFit="1" customWidth="1"/>
    <col min="4626" max="4626" width="11.5703125" style="24" bestFit="1" customWidth="1"/>
    <col min="4627" max="4631" width="9.140625" style="24"/>
    <col min="4632" max="4632" width="9.28515625" style="24" bestFit="1" customWidth="1"/>
    <col min="4633" max="4635" width="11.140625" style="24" customWidth="1"/>
    <col min="4636" max="4636" width="13.7109375" style="24" customWidth="1"/>
    <col min="4637" max="4864" width="9.140625" style="24"/>
    <col min="4865" max="4865" width="2.28515625" style="24" customWidth="1"/>
    <col min="4866" max="4866" width="20" style="24" customWidth="1"/>
    <col min="4867" max="4867" width="29.140625" style="24" bestFit="1" customWidth="1"/>
    <col min="4868" max="4868" width="11.85546875" style="24" bestFit="1" customWidth="1"/>
    <col min="4869" max="4869" width="4.5703125" style="24" bestFit="1" customWidth="1"/>
    <col min="4870" max="4870" width="10.140625" style="24" bestFit="1" customWidth="1"/>
    <col min="4871" max="4871" width="12.85546875" style="24" bestFit="1" customWidth="1"/>
    <col min="4872" max="4872" width="16.42578125" style="24" bestFit="1" customWidth="1"/>
    <col min="4873" max="4873" width="11" style="24" bestFit="1" customWidth="1"/>
    <col min="4874" max="4874" width="13.42578125" style="24" bestFit="1" customWidth="1"/>
    <col min="4875" max="4875" width="9.28515625" style="24" bestFit="1" customWidth="1"/>
    <col min="4876" max="4876" width="10.140625" style="24" bestFit="1" customWidth="1"/>
    <col min="4877" max="4877" width="5.42578125" style="24" bestFit="1" customWidth="1"/>
    <col min="4878" max="4878" width="12.140625" style="24" bestFit="1" customWidth="1"/>
    <col min="4879" max="4879" width="7.28515625" style="24" bestFit="1" customWidth="1"/>
    <col min="4880" max="4880" width="12.85546875" style="24" bestFit="1" customWidth="1"/>
    <col min="4881" max="4881" width="11" style="24" bestFit="1" customWidth="1"/>
    <col min="4882" max="4882" width="11.5703125" style="24" bestFit="1" customWidth="1"/>
    <col min="4883" max="4887" width="9.140625" style="24"/>
    <col min="4888" max="4888" width="9.28515625" style="24" bestFit="1" customWidth="1"/>
    <col min="4889" max="4891" width="11.140625" style="24" customWidth="1"/>
    <col min="4892" max="4892" width="13.7109375" style="24" customWidth="1"/>
    <col min="4893" max="5120" width="9.140625" style="24"/>
    <col min="5121" max="5121" width="2.28515625" style="24" customWidth="1"/>
    <col min="5122" max="5122" width="20" style="24" customWidth="1"/>
    <col min="5123" max="5123" width="29.140625" style="24" bestFit="1" customWidth="1"/>
    <col min="5124" max="5124" width="11.85546875" style="24" bestFit="1" customWidth="1"/>
    <col min="5125" max="5125" width="4.5703125" style="24" bestFit="1" customWidth="1"/>
    <col min="5126" max="5126" width="10.140625" style="24" bestFit="1" customWidth="1"/>
    <col min="5127" max="5127" width="12.85546875" style="24" bestFit="1" customWidth="1"/>
    <col min="5128" max="5128" width="16.42578125" style="24" bestFit="1" customWidth="1"/>
    <col min="5129" max="5129" width="11" style="24" bestFit="1" customWidth="1"/>
    <col min="5130" max="5130" width="13.42578125" style="24" bestFit="1" customWidth="1"/>
    <col min="5131" max="5131" width="9.28515625" style="24" bestFit="1" customWidth="1"/>
    <col min="5132" max="5132" width="10.140625" style="24" bestFit="1" customWidth="1"/>
    <col min="5133" max="5133" width="5.42578125" style="24" bestFit="1" customWidth="1"/>
    <col min="5134" max="5134" width="12.140625" style="24" bestFit="1" customWidth="1"/>
    <col min="5135" max="5135" width="7.28515625" style="24" bestFit="1" customWidth="1"/>
    <col min="5136" max="5136" width="12.85546875" style="24" bestFit="1" customWidth="1"/>
    <col min="5137" max="5137" width="11" style="24" bestFit="1" customWidth="1"/>
    <col min="5138" max="5138" width="11.5703125" style="24" bestFit="1" customWidth="1"/>
    <col min="5139" max="5143" width="9.140625" style="24"/>
    <col min="5144" max="5144" width="9.28515625" style="24" bestFit="1" customWidth="1"/>
    <col min="5145" max="5147" width="11.140625" style="24" customWidth="1"/>
    <col min="5148" max="5148" width="13.7109375" style="24" customWidth="1"/>
    <col min="5149" max="5376" width="9.140625" style="24"/>
    <col min="5377" max="5377" width="2.28515625" style="24" customWidth="1"/>
    <col min="5378" max="5378" width="20" style="24" customWidth="1"/>
    <col min="5379" max="5379" width="29.140625" style="24" bestFit="1" customWidth="1"/>
    <col min="5380" max="5380" width="11.85546875" style="24" bestFit="1" customWidth="1"/>
    <col min="5381" max="5381" width="4.5703125" style="24" bestFit="1" customWidth="1"/>
    <col min="5382" max="5382" width="10.140625" style="24" bestFit="1" customWidth="1"/>
    <col min="5383" max="5383" width="12.85546875" style="24" bestFit="1" customWidth="1"/>
    <col min="5384" max="5384" width="16.42578125" style="24" bestFit="1" customWidth="1"/>
    <col min="5385" max="5385" width="11" style="24" bestFit="1" customWidth="1"/>
    <col min="5386" max="5386" width="13.42578125" style="24" bestFit="1" customWidth="1"/>
    <col min="5387" max="5387" width="9.28515625" style="24" bestFit="1" customWidth="1"/>
    <col min="5388" max="5388" width="10.140625" style="24" bestFit="1" customWidth="1"/>
    <col min="5389" max="5389" width="5.42578125" style="24" bestFit="1" customWidth="1"/>
    <col min="5390" max="5390" width="12.140625" style="24" bestFit="1" customWidth="1"/>
    <col min="5391" max="5391" width="7.28515625" style="24" bestFit="1" customWidth="1"/>
    <col min="5392" max="5392" width="12.85546875" style="24" bestFit="1" customWidth="1"/>
    <col min="5393" max="5393" width="11" style="24" bestFit="1" customWidth="1"/>
    <col min="5394" max="5394" width="11.5703125" style="24" bestFit="1" customWidth="1"/>
    <col min="5395" max="5399" width="9.140625" style="24"/>
    <col min="5400" max="5400" width="9.28515625" style="24" bestFit="1" customWidth="1"/>
    <col min="5401" max="5403" width="11.140625" style="24" customWidth="1"/>
    <col min="5404" max="5404" width="13.7109375" style="24" customWidth="1"/>
    <col min="5405" max="5632" width="9.140625" style="24"/>
    <col min="5633" max="5633" width="2.28515625" style="24" customWidth="1"/>
    <col min="5634" max="5634" width="20" style="24" customWidth="1"/>
    <col min="5635" max="5635" width="29.140625" style="24" bestFit="1" customWidth="1"/>
    <col min="5636" max="5636" width="11.85546875" style="24" bestFit="1" customWidth="1"/>
    <col min="5637" max="5637" width="4.5703125" style="24" bestFit="1" customWidth="1"/>
    <col min="5638" max="5638" width="10.140625" style="24" bestFit="1" customWidth="1"/>
    <col min="5639" max="5639" width="12.85546875" style="24" bestFit="1" customWidth="1"/>
    <col min="5640" max="5640" width="16.42578125" style="24" bestFit="1" customWidth="1"/>
    <col min="5641" max="5641" width="11" style="24" bestFit="1" customWidth="1"/>
    <col min="5642" max="5642" width="13.42578125" style="24" bestFit="1" customWidth="1"/>
    <col min="5643" max="5643" width="9.28515625" style="24" bestFit="1" customWidth="1"/>
    <col min="5644" max="5644" width="10.140625" style="24" bestFit="1" customWidth="1"/>
    <col min="5645" max="5645" width="5.42578125" style="24" bestFit="1" customWidth="1"/>
    <col min="5646" max="5646" width="12.140625" style="24" bestFit="1" customWidth="1"/>
    <col min="5647" max="5647" width="7.28515625" style="24" bestFit="1" customWidth="1"/>
    <col min="5648" max="5648" width="12.85546875" style="24" bestFit="1" customWidth="1"/>
    <col min="5649" max="5649" width="11" style="24" bestFit="1" customWidth="1"/>
    <col min="5650" max="5650" width="11.5703125" style="24" bestFit="1" customWidth="1"/>
    <col min="5651" max="5655" width="9.140625" style="24"/>
    <col min="5656" max="5656" width="9.28515625" style="24" bestFit="1" customWidth="1"/>
    <col min="5657" max="5659" width="11.140625" style="24" customWidth="1"/>
    <col min="5660" max="5660" width="13.7109375" style="24" customWidth="1"/>
    <col min="5661" max="5888" width="9.140625" style="24"/>
    <col min="5889" max="5889" width="2.28515625" style="24" customWidth="1"/>
    <col min="5890" max="5890" width="20" style="24" customWidth="1"/>
    <col min="5891" max="5891" width="29.140625" style="24" bestFit="1" customWidth="1"/>
    <col min="5892" max="5892" width="11.85546875" style="24" bestFit="1" customWidth="1"/>
    <col min="5893" max="5893" width="4.5703125" style="24" bestFit="1" customWidth="1"/>
    <col min="5894" max="5894" width="10.140625" style="24" bestFit="1" customWidth="1"/>
    <col min="5895" max="5895" width="12.85546875" style="24" bestFit="1" customWidth="1"/>
    <col min="5896" max="5896" width="16.42578125" style="24" bestFit="1" customWidth="1"/>
    <col min="5897" max="5897" width="11" style="24" bestFit="1" customWidth="1"/>
    <col min="5898" max="5898" width="13.42578125" style="24" bestFit="1" customWidth="1"/>
    <col min="5899" max="5899" width="9.28515625" style="24" bestFit="1" customWidth="1"/>
    <col min="5900" max="5900" width="10.140625" style="24" bestFit="1" customWidth="1"/>
    <col min="5901" max="5901" width="5.42578125" style="24" bestFit="1" customWidth="1"/>
    <col min="5902" max="5902" width="12.140625" style="24" bestFit="1" customWidth="1"/>
    <col min="5903" max="5903" width="7.28515625" style="24" bestFit="1" customWidth="1"/>
    <col min="5904" max="5904" width="12.85546875" style="24" bestFit="1" customWidth="1"/>
    <col min="5905" max="5905" width="11" style="24" bestFit="1" customWidth="1"/>
    <col min="5906" max="5906" width="11.5703125" style="24" bestFit="1" customWidth="1"/>
    <col min="5907" max="5911" width="9.140625" style="24"/>
    <col min="5912" max="5912" width="9.28515625" style="24" bestFit="1" customWidth="1"/>
    <col min="5913" max="5915" width="11.140625" style="24" customWidth="1"/>
    <col min="5916" max="5916" width="13.7109375" style="24" customWidth="1"/>
    <col min="5917" max="6144" width="9.140625" style="24"/>
    <col min="6145" max="6145" width="2.28515625" style="24" customWidth="1"/>
    <col min="6146" max="6146" width="20" style="24" customWidth="1"/>
    <col min="6147" max="6147" width="29.140625" style="24" bestFit="1" customWidth="1"/>
    <col min="6148" max="6148" width="11.85546875" style="24" bestFit="1" customWidth="1"/>
    <col min="6149" max="6149" width="4.5703125" style="24" bestFit="1" customWidth="1"/>
    <col min="6150" max="6150" width="10.140625" style="24" bestFit="1" customWidth="1"/>
    <col min="6151" max="6151" width="12.85546875" style="24" bestFit="1" customWidth="1"/>
    <col min="6152" max="6152" width="16.42578125" style="24" bestFit="1" customWidth="1"/>
    <col min="6153" max="6153" width="11" style="24" bestFit="1" customWidth="1"/>
    <col min="6154" max="6154" width="13.42578125" style="24" bestFit="1" customWidth="1"/>
    <col min="6155" max="6155" width="9.28515625" style="24" bestFit="1" customWidth="1"/>
    <col min="6156" max="6156" width="10.140625" style="24" bestFit="1" customWidth="1"/>
    <col min="6157" max="6157" width="5.42578125" style="24" bestFit="1" customWidth="1"/>
    <col min="6158" max="6158" width="12.140625" style="24" bestFit="1" customWidth="1"/>
    <col min="6159" max="6159" width="7.28515625" style="24" bestFit="1" customWidth="1"/>
    <col min="6160" max="6160" width="12.85546875" style="24" bestFit="1" customWidth="1"/>
    <col min="6161" max="6161" width="11" style="24" bestFit="1" customWidth="1"/>
    <col min="6162" max="6162" width="11.5703125" style="24" bestFit="1" customWidth="1"/>
    <col min="6163" max="6167" width="9.140625" style="24"/>
    <col min="6168" max="6168" width="9.28515625" style="24" bestFit="1" customWidth="1"/>
    <col min="6169" max="6171" width="11.140625" style="24" customWidth="1"/>
    <col min="6172" max="6172" width="13.7109375" style="24" customWidth="1"/>
    <col min="6173" max="6400" width="9.140625" style="24"/>
    <col min="6401" max="6401" width="2.28515625" style="24" customWidth="1"/>
    <col min="6402" max="6402" width="20" style="24" customWidth="1"/>
    <col min="6403" max="6403" width="29.140625" style="24" bestFit="1" customWidth="1"/>
    <col min="6404" max="6404" width="11.85546875" style="24" bestFit="1" customWidth="1"/>
    <col min="6405" max="6405" width="4.5703125" style="24" bestFit="1" customWidth="1"/>
    <col min="6406" max="6406" width="10.140625" style="24" bestFit="1" customWidth="1"/>
    <col min="6407" max="6407" width="12.85546875" style="24" bestFit="1" customWidth="1"/>
    <col min="6408" max="6408" width="16.42578125" style="24" bestFit="1" customWidth="1"/>
    <col min="6409" max="6409" width="11" style="24" bestFit="1" customWidth="1"/>
    <col min="6410" max="6410" width="13.42578125" style="24" bestFit="1" customWidth="1"/>
    <col min="6411" max="6411" width="9.28515625" style="24" bestFit="1" customWidth="1"/>
    <col min="6412" max="6412" width="10.140625" style="24" bestFit="1" customWidth="1"/>
    <col min="6413" max="6413" width="5.42578125" style="24" bestFit="1" customWidth="1"/>
    <col min="6414" max="6414" width="12.140625" style="24" bestFit="1" customWidth="1"/>
    <col min="6415" max="6415" width="7.28515625" style="24" bestFit="1" customWidth="1"/>
    <col min="6416" max="6416" width="12.85546875" style="24" bestFit="1" customWidth="1"/>
    <col min="6417" max="6417" width="11" style="24" bestFit="1" customWidth="1"/>
    <col min="6418" max="6418" width="11.5703125" style="24" bestFit="1" customWidth="1"/>
    <col min="6419" max="6423" width="9.140625" style="24"/>
    <col min="6424" max="6424" width="9.28515625" style="24" bestFit="1" customWidth="1"/>
    <col min="6425" max="6427" width="11.140625" style="24" customWidth="1"/>
    <col min="6428" max="6428" width="13.7109375" style="24" customWidth="1"/>
    <col min="6429" max="6656" width="9.140625" style="24"/>
    <col min="6657" max="6657" width="2.28515625" style="24" customWidth="1"/>
    <col min="6658" max="6658" width="20" style="24" customWidth="1"/>
    <col min="6659" max="6659" width="29.140625" style="24" bestFit="1" customWidth="1"/>
    <col min="6660" max="6660" width="11.85546875" style="24" bestFit="1" customWidth="1"/>
    <col min="6661" max="6661" width="4.5703125" style="24" bestFit="1" customWidth="1"/>
    <col min="6662" max="6662" width="10.140625" style="24" bestFit="1" customWidth="1"/>
    <col min="6663" max="6663" width="12.85546875" style="24" bestFit="1" customWidth="1"/>
    <col min="6664" max="6664" width="16.42578125" style="24" bestFit="1" customWidth="1"/>
    <col min="6665" max="6665" width="11" style="24" bestFit="1" customWidth="1"/>
    <col min="6666" max="6666" width="13.42578125" style="24" bestFit="1" customWidth="1"/>
    <col min="6667" max="6667" width="9.28515625" style="24" bestFit="1" customWidth="1"/>
    <col min="6668" max="6668" width="10.140625" style="24" bestFit="1" customWidth="1"/>
    <col min="6669" max="6669" width="5.42578125" style="24" bestFit="1" customWidth="1"/>
    <col min="6670" max="6670" width="12.140625" style="24" bestFit="1" customWidth="1"/>
    <col min="6671" max="6671" width="7.28515625" style="24" bestFit="1" customWidth="1"/>
    <col min="6672" max="6672" width="12.85546875" style="24" bestFit="1" customWidth="1"/>
    <col min="6673" max="6673" width="11" style="24" bestFit="1" customWidth="1"/>
    <col min="6674" max="6674" width="11.5703125" style="24" bestFit="1" customWidth="1"/>
    <col min="6675" max="6679" width="9.140625" style="24"/>
    <col min="6680" max="6680" width="9.28515625" style="24" bestFit="1" customWidth="1"/>
    <col min="6681" max="6683" width="11.140625" style="24" customWidth="1"/>
    <col min="6684" max="6684" width="13.7109375" style="24" customWidth="1"/>
    <col min="6685" max="6912" width="9.140625" style="24"/>
    <col min="6913" max="6913" width="2.28515625" style="24" customWidth="1"/>
    <col min="6914" max="6914" width="20" style="24" customWidth="1"/>
    <col min="6915" max="6915" width="29.140625" style="24" bestFit="1" customWidth="1"/>
    <col min="6916" max="6916" width="11.85546875" style="24" bestFit="1" customWidth="1"/>
    <col min="6917" max="6917" width="4.5703125" style="24" bestFit="1" customWidth="1"/>
    <col min="6918" max="6918" width="10.140625" style="24" bestFit="1" customWidth="1"/>
    <col min="6919" max="6919" width="12.85546875" style="24" bestFit="1" customWidth="1"/>
    <col min="6920" max="6920" width="16.42578125" style="24" bestFit="1" customWidth="1"/>
    <col min="6921" max="6921" width="11" style="24" bestFit="1" customWidth="1"/>
    <col min="6922" max="6922" width="13.42578125" style="24" bestFit="1" customWidth="1"/>
    <col min="6923" max="6923" width="9.28515625" style="24" bestFit="1" customWidth="1"/>
    <col min="6924" max="6924" width="10.140625" style="24" bestFit="1" customWidth="1"/>
    <col min="6925" max="6925" width="5.42578125" style="24" bestFit="1" customWidth="1"/>
    <col min="6926" max="6926" width="12.140625" style="24" bestFit="1" customWidth="1"/>
    <col min="6927" max="6927" width="7.28515625" style="24" bestFit="1" customWidth="1"/>
    <col min="6928" max="6928" width="12.85546875" style="24" bestFit="1" customWidth="1"/>
    <col min="6929" max="6929" width="11" style="24" bestFit="1" customWidth="1"/>
    <col min="6930" max="6930" width="11.5703125" style="24" bestFit="1" customWidth="1"/>
    <col min="6931" max="6935" width="9.140625" style="24"/>
    <col min="6936" max="6936" width="9.28515625" style="24" bestFit="1" customWidth="1"/>
    <col min="6937" max="6939" width="11.140625" style="24" customWidth="1"/>
    <col min="6940" max="6940" width="13.7109375" style="24" customWidth="1"/>
    <col min="6941" max="7168" width="9.140625" style="24"/>
    <col min="7169" max="7169" width="2.28515625" style="24" customWidth="1"/>
    <col min="7170" max="7170" width="20" style="24" customWidth="1"/>
    <col min="7171" max="7171" width="29.140625" style="24" bestFit="1" customWidth="1"/>
    <col min="7172" max="7172" width="11.85546875" style="24" bestFit="1" customWidth="1"/>
    <col min="7173" max="7173" width="4.5703125" style="24" bestFit="1" customWidth="1"/>
    <col min="7174" max="7174" width="10.140625" style="24" bestFit="1" customWidth="1"/>
    <col min="7175" max="7175" width="12.85546875" style="24" bestFit="1" customWidth="1"/>
    <col min="7176" max="7176" width="16.42578125" style="24" bestFit="1" customWidth="1"/>
    <col min="7177" max="7177" width="11" style="24" bestFit="1" customWidth="1"/>
    <col min="7178" max="7178" width="13.42578125" style="24" bestFit="1" customWidth="1"/>
    <col min="7179" max="7179" width="9.28515625" style="24" bestFit="1" customWidth="1"/>
    <col min="7180" max="7180" width="10.140625" style="24" bestFit="1" customWidth="1"/>
    <col min="7181" max="7181" width="5.42578125" style="24" bestFit="1" customWidth="1"/>
    <col min="7182" max="7182" width="12.140625" style="24" bestFit="1" customWidth="1"/>
    <col min="7183" max="7183" width="7.28515625" style="24" bestFit="1" customWidth="1"/>
    <col min="7184" max="7184" width="12.85546875" style="24" bestFit="1" customWidth="1"/>
    <col min="7185" max="7185" width="11" style="24" bestFit="1" customWidth="1"/>
    <col min="7186" max="7186" width="11.5703125" style="24" bestFit="1" customWidth="1"/>
    <col min="7187" max="7191" width="9.140625" style="24"/>
    <col min="7192" max="7192" width="9.28515625" style="24" bestFit="1" customWidth="1"/>
    <col min="7193" max="7195" width="11.140625" style="24" customWidth="1"/>
    <col min="7196" max="7196" width="13.7109375" style="24" customWidth="1"/>
    <col min="7197" max="7424" width="9.140625" style="24"/>
    <col min="7425" max="7425" width="2.28515625" style="24" customWidth="1"/>
    <col min="7426" max="7426" width="20" style="24" customWidth="1"/>
    <col min="7427" max="7427" width="29.140625" style="24" bestFit="1" customWidth="1"/>
    <col min="7428" max="7428" width="11.85546875" style="24" bestFit="1" customWidth="1"/>
    <col min="7429" max="7429" width="4.5703125" style="24" bestFit="1" customWidth="1"/>
    <col min="7430" max="7430" width="10.140625" style="24" bestFit="1" customWidth="1"/>
    <col min="7431" max="7431" width="12.85546875" style="24" bestFit="1" customWidth="1"/>
    <col min="7432" max="7432" width="16.42578125" style="24" bestFit="1" customWidth="1"/>
    <col min="7433" max="7433" width="11" style="24" bestFit="1" customWidth="1"/>
    <col min="7434" max="7434" width="13.42578125" style="24" bestFit="1" customWidth="1"/>
    <col min="7435" max="7435" width="9.28515625" style="24" bestFit="1" customWidth="1"/>
    <col min="7436" max="7436" width="10.140625" style="24" bestFit="1" customWidth="1"/>
    <col min="7437" max="7437" width="5.42578125" style="24" bestFit="1" customWidth="1"/>
    <col min="7438" max="7438" width="12.140625" style="24" bestFit="1" customWidth="1"/>
    <col min="7439" max="7439" width="7.28515625" style="24" bestFit="1" customWidth="1"/>
    <col min="7440" max="7440" width="12.85546875" style="24" bestFit="1" customWidth="1"/>
    <col min="7441" max="7441" width="11" style="24" bestFit="1" customWidth="1"/>
    <col min="7442" max="7442" width="11.5703125" style="24" bestFit="1" customWidth="1"/>
    <col min="7443" max="7447" width="9.140625" style="24"/>
    <col min="7448" max="7448" width="9.28515625" style="24" bestFit="1" customWidth="1"/>
    <col min="7449" max="7451" width="11.140625" style="24" customWidth="1"/>
    <col min="7452" max="7452" width="13.7109375" style="24" customWidth="1"/>
    <col min="7453" max="7680" width="9.140625" style="24"/>
    <col min="7681" max="7681" width="2.28515625" style="24" customWidth="1"/>
    <col min="7682" max="7682" width="20" style="24" customWidth="1"/>
    <col min="7683" max="7683" width="29.140625" style="24" bestFit="1" customWidth="1"/>
    <col min="7684" max="7684" width="11.85546875" style="24" bestFit="1" customWidth="1"/>
    <col min="7685" max="7685" width="4.5703125" style="24" bestFit="1" customWidth="1"/>
    <col min="7686" max="7686" width="10.140625" style="24" bestFit="1" customWidth="1"/>
    <col min="7687" max="7687" width="12.85546875" style="24" bestFit="1" customWidth="1"/>
    <col min="7688" max="7688" width="16.42578125" style="24" bestFit="1" customWidth="1"/>
    <col min="7689" max="7689" width="11" style="24" bestFit="1" customWidth="1"/>
    <col min="7690" max="7690" width="13.42578125" style="24" bestFit="1" customWidth="1"/>
    <col min="7691" max="7691" width="9.28515625" style="24" bestFit="1" customWidth="1"/>
    <col min="7692" max="7692" width="10.140625" style="24" bestFit="1" customWidth="1"/>
    <col min="7693" max="7693" width="5.42578125" style="24" bestFit="1" customWidth="1"/>
    <col min="7694" max="7694" width="12.140625" style="24" bestFit="1" customWidth="1"/>
    <col min="7695" max="7695" width="7.28515625" style="24" bestFit="1" customWidth="1"/>
    <col min="7696" max="7696" width="12.85546875" style="24" bestFit="1" customWidth="1"/>
    <col min="7697" max="7697" width="11" style="24" bestFit="1" customWidth="1"/>
    <col min="7698" max="7698" width="11.5703125" style="24" bestFit="1" customWidth="1"/>
    <col min="7699" max="7703" width="9.140625" style="24"/>
    <col min="7704" max="7704" width="9.28515625" style="24" bestFit="1" customWidth="1"/>
    <col min="7705" max="7707" width="11.140625" style="24" customWidth="1"/>
    <col min="7708" max="7708" width="13.7109375" style="24" customWidth="1"/>
    <col min="7709" max="7936" width="9.140625" style="24"/>
    <col min="7937" max="7937" width="2.28515625" style="24" customWidth="1"/>
    <col min="7938" max="7938" width="20" style="24" customWidth="1"/>
    <col min="7939" max="7939" width="29.140625" style="24" bestFit="1" customWidth="1"/>
    <col min="7940" max="7940" width="11.85546875" style="24" bestFit="1" customWidth="1"/>
    <col min="7941" max="7941" width="4.5703125" style="24" bestFit="1" customWidth="1"/>
    <col min="7942" max="7942" width="10.140625" style="24" bestFit="1" customWidth="1"/>
    <col min="7943" max="7943" width="12.85546875" style="24" bestFit="1" customWidth="1"/>
    <col min="7944" max="7944" width="16.42578125" style="24" bestFit="1" customWidth="1"/>
    <col min="7945" max="7945" width="11" style="24" bestFit="1" customWidth="1"/>
    <col min="7946" max="7946" width="13.42578125" style="24" bestFit="1" customWidth="1"/>
    <col min="7947" max="7947" width="9.28515625" style="24" bestFit="1" customWidth="1"/>
    <col min="7948" max="7948" width="10.140625" style="24" bestFit="1" customWidth="1"/>
    <col min="7949" max="7949" width="5.42578125" style="24" bestFit="1" customWidth="1"/>
    <col min="7950" max="7950" width="12.140625" style="24" bestFit="1" customWidth="1"/>
    <col min="7951" max="7951" width="7.28515625" style="24" bestFit="1" customWidth="1"/>
    <col min="7952" max="7952" width="12.85546875" style="24" bestFit="1" customWidth="1"/>
    <col min="7953" max="7953" width="11" style="24" bestFit="1" customWidth="1"/>
    <col min="7954" max="7954" width="11.5703125" style="24" bestFit="1" customWidth="1"/>
    <col min="7955" max="7959" width="9.140625" style="24"/>
    <col min="7960" max="7960" width="9.28515625" style="24" bestFit="1" customWidth="1"/>
    <col min="7961" max="7963" width="11.140625" style="24" customWidth="1"/>
    <col min="7964" max="7964" width="13.7109375" style="24" customWidth="1"/>
    <col min="7965" max="8192" width="9.140625" style="24"/>
    <col min="8193" max="8193" width="2.28515625" style="24" customWidth="1"/>
    <col min="8194" max="8194" width="20" style="24" customWidth="1"/>
    <col min="8195" max="8195" width="29.140625" style="24" bestFit="1" customWidth="1"/>
    <col min="8196" max="8196" width="11.85546875" style="24" bestFit="1" customWidth="1"/>
    <col min="8197" max="8197" width="4.5703125" style="24" bestFit="1" customWidth="1"/>
    <col min="8198" max="8198" width="10.140625" style="24" bestFit="1" customWidth="1"/>
    <col min="8199" max="8199" width="12.85546875" style="24" bestFit="1" customWidth="1"/>
    <col min="8200" max="8200" width="16.42578125" style="24" bestFit="1" customWidth="1"/>
    <col min="8201" max="8201" width="11" style="24" bestFit="1" customWidth="1"/>
    <col min="8202" max="8202" width="13.42578125" style="24" bestFit="1" customWidth="1"/>
    <col min="8203" max="8203" width="9.28515625" style="24" bestFit="1" customWidth="1"/>
    <col min="8204" max="8204" width="10.140625" style="24" bestFit="1" customWidth="1"/>
    <col min="8205" max="8205" width="5.42578125" style="24" bestFit="1" customWidth="1"/>
    <col min="8206" max="8206" width="12.140625" style="24" bestFit="1" customWidth="1"/>
    <col min="8207" max="8207" width="7.28515625" style="24" bestFit="1" customWidth="1"/>
    <col min="8208" max="8208" width="12.85546875" style="24" bestFit="1" customWidth="1"/>
    <col min="8209" max="8209" width="11" style="24" bestFit="1" customWidth="1"/>
    <col min="8210" max="8210" width="11.5703125" style="24" bestFit="1" customWidth="1"/>
    <col min="8211" max="8215" width="9.140625" style="24"/>
    <col min="8216" max="8216" width="9.28515625" style="24" bestFit="1" customWidth="1"/>
    <col min="8217" max="8219" width="11.140625" style="24" customWidth="1"/>
    <col min="8220" max="8220" width="13.7109375" style="24" customWidth="1"/>
    <col min="8221" max="8448" width="9.140625" style="24"/>
    <col min="8449" max="8449" width="2.28515625" style="24" customWidth="1"/>
    <col min="8450" max="8450" width="20" style="24" customWidth="1"/>
    <col min="8451" max="8451" width="29.140625" style="24" bestFit="1" customWidth="1"/>
    <col min="8452" max="8452" width="11.85546875" style="24" bestFit="1" customWidth="1"/>
    <col min="8453" max="8453" width="4.5703125" style="24" bestFit="1" customWidth="1"/>
    <col min="8454" max="8454" width="10.140625" style="24" bestFit="1" customWidth="1"/>
    <col min="8455" max="8455" width="12.85546875" style="24" bestFit="1" customWidth="1"/>
    <col min="8456" max="8456" width="16.42578125" style="24" bestFit="1" customWidth="1"/>
    <col min="8457" max="8457" width="11" style="24" bestFit="1" customWidth="1"/>
    <col min="8458" max="8458" width="13.42578125" style="24" bestFit="1" customWidth="1"/>
    <col min="8459" max="8459" width="9.28515625" style="24" bestFit="1" customWidth="1"/>
    <col min="8460" max="8460" width="10.140625" style="24" bestFit="1" customWidth="1"/>
    <col min="8461" max="8461" width="5.42578125" style="24" bestFit="1" customWidth="1"/>
    <col min="8462" max="8462" width="12.140625" style="24" bestFit="1" customWidth="1"/>
    <col min="8463" max="8463" width="7.28515625" style="24" bestFit="1" customWidth="1"/>
    <col min="8464" max="8464" width="12.85546875" style="24" bestFit="1" customWidth="1"/>
    <col min="8465" max="8465" width="11" style="24" bestFit="1" customWidth="1"/>
    <col min="8466" max="8466" width="11.5703125" style="24" bestFit="1" customWidth="1"/>
    <col min="8467" max="8471" width="9.140625" style="24"/>
    <col min="8472" max="8472" width="9.28515625" style="24" bestFit="1" customWidth="1"/>
    <col min="8473" max="8475" width="11.140625" style="24" customWidth="1"/>
    <col min="8476" max="8476" width="13.7109375" style="24" customWidth="1"/>
    <col min="8477" max="8704" width="9.140625" style="24"/>
    <col min="8705" max="8705" width="2.28515625" style="24" customWidth="1"/>
    <col min="8706" max="8706" width="20" style="24" customWidth="1"/>
    <col min="8707" max="8707" width="29.140625" style="24" bestFit="1" customWidth="1"/>
    <col min="8708" max="8708" width="11.85546875" style="24" bestFit="1" customWidth="1"/>
    <col min="8709" max="8709" width="4.5703125" style="24" bestFit="1" customWidth="1"/>
    <col min="8710" max="8710" width="10.140625" style="24" bestFit="1" customWidth="1"/>
    <col min="8711" max="8711" width="12.85546875" style="24" bestFit="1" customWidth="1"/>
    <col min="8712" max="8712" width="16.42578125" style="24" bestFit="1" customWidth="1"/>
    <col min="8713" max="8713" width="11" style="24" bestFit="1" customWidth="1"/>
    <col min="8714" max="8714" width="13.42578125" style="24" bestFit="1" customWidth="1"/>
    <col min="8715" max="8715" width="9.28515625" style="24" bestFit="1" customWidth="1"/>
    <col min="8716" max="8716" width="10.140625" style="24" bestFit="1" customWidth="1"/>
    <col min="8717" max="8717" width="5.42578125" style="24" bestFit="1" customWidth="1"/>
    <col min="8718" max="8718" width="12.140625" style="24" bestFit="1" customWidth="1"/>
    <col min="8719" max="8719" width="7.28515625" style="24" bestFit="1" customWidth="1"/>
    <col min="8720" max="8720" width="12.85546875" style="24" bestFit="1" customWidth="1"/>
    <col min="8721" max="8721" width="11" style="24" bestFit="1" customWidth="1"/>
    <col min="8722" max="8722" width="11.5703125" style="24" bestFit="1" customWidth="1"/>
    <col min="8723" max="8727" width="9.140625" style="24"/>
    <col min="8728" max="8728" width="9.28515625" style="24" bestFit="1" customWidth="1"/>
    <col min="8729" max="8731" width="11.140625" style="24" customWidth="1"/>
    <col min="8732" max="8732" width="13.7109375" style="24" customWidth="1"/>
    <col min="8733" max="8960" width="9.140625" style="24"/>
    <col min="8961" max="8961" width="2.28515625" style="24" customWidth="1"/>
    <col min="8962" max="8962" width="20" style="24" customWidth="1"/>
    <col min="8963" max="8963" width="29.140625" style="24" bestFit="1" customWidth="1"/>
    <col min="8964" max="8964" width="11.85546875" style="24" bestFit="1" customWidth="1"/>
    <col min="8965" max="8965" width="4.5703125" style="24" bestFit="1" customWidth="1"/>
    <col min="8966" max="8966" width="10.140625" style="24" bestFit="1" customWidth="1"/>
    <col min="8967" max="8967" width="12.85546875" style="24" bestFit="1" customWidth="1"/>
    <col min="8968" max="8968" width="16.42578125" style="24" bestFit="1" customWidth="1"/>
    <col min="8969" max="8969" width="11" style="24" bestFit="1" customWidth="1"/>
    <col min="8970" max="8970" width="13.42578125" style="24" bestFit="1" customWidth="1"/>
    <col min="8971" max="8971" width="9.28515625" style="24" bestFit="1" customWidth="1"/>
    <col min="8972" max="8972" width="10.140625" style="24" bestFit="1" customWidth="1"/>
    <col min="8973" max="8973" width="5.42578125" style="24" bestFit="1" customWidth="1"/>
    <col min="8974" max="8974" width="12.140625" style="24" bestFit="1" customWidth="1"/>
    <col min="8975" max="8975" width="7.28515625" style="24" bestFit="1" customWidth="1"/>
    <col min="8976" max="8976" width="12.85546875" style="24" bestFit="1" customWidth="1"/>
    <col min="8977" max="8977" width="11" style="24" bestFit="1" customWidth="1"/>
    <col min="8978" max="8978" width="11.5703125" style="24" bestFit="1" customWidth="1"/>
    <col min="8979" max="8983" width="9.140625" style="24"/>
    <col min="8984" max="8984" width="9.28515625" style="24" bestFit="1" customWidth="1"/>
    <col min="8985" max="8987" width="11.140625" style="24" customWidth="1"/>
    <col min="8988" max="8988" width="13.7109375" style="24" customWidth="1"/>
    <col min="8989" max="9216" width="9.140625" style="24"/>
    <col min="9217" max="9217" width="2.28515625" style="24" customWidth="1"/>
    <col min="9218" max="9218" width="20" style="24" customWidth="1"/>
    <col min="9219" max="9219" width="29.140625" style="24" bestFit="1" customWidth="1"/>
    <col min="9220" max="9220" width="11.85546875" style="24" bestFit="1" customWidth="1"/>
    <col min="9221" max="9221" width="4.5703125" style="24" bestFit="1" customWidth="1"/>
    <col min="9222" max="9222" width="10.140625" style="24" bestFit="1" customWidth="1"/>
    <col min="9223" max="9223" width="12.85546875" style="24" bestFit="1" customWidth="1"/>
    <col min="9224" max="9224" width="16.42578125" style="24" bestFit="1" customWidth="1"/>
    <col min="9225" max="9225" width="11" style="24" bestFit="1" customWidth="1"/>
    <col min="9226" max="9226" width="13.42578125" style="24" bestFit="1" customWidth="1"/>
    <col min="9227" max="9227" width="9.28515625" style="24" bestFit="1" customWidth="1"/>
    <col min="9228" max="9228" width="10.140625" style="24" bestFit="1" customWidth="1"/>
    <col min="9229" max="9229" width="5.42578125" style="24" bestFit="1" customWidth="1"/>
    <col min="9230" max="9230" width="12.140625" style="24" bestFit="1" customWidth="1"/>
    <col min="9231" max="9231" width="7.28515625" style="24" bestFit="1" customWidth="1"/>
    <col min="9232" max="9232" width="12.85546875" style="24" bestFit="1" customWidth="1"/>
    <col min="9233" max="9233" width="11" style="24" bestFit="1" customWidth="1"/>
    <col min="9234" max="9234" width="11.5703125" style="24" bestFit="1" customWidth="1"/>
    <col min="9235" max="9239" width="9.140625" style="24"/>
    <col min="9240" max="9240" width="9.28515625" style="24" bestFit="1" customWidth="1"/>
    <col min="9241" max="9243" width="11.140625" style="24" customWidth="1"/>
    <col min="9244" max="9244" width="13.7109375" style="24" customWidth="1"/>
    <col min="9245" max="9472" width="9.140625" style="24"/>
    <col min="9473" max="9473" width="2.28515625" style="24" customWidth="1"/>
    <col min="9474" max="9474" width="20" style="24" customWidth="1"/>
    <col min="9475" max="9475" width="29.140625" style="24" bestFit="1" customWidth="1"/>
    <col min="9476" max="9476" width="11.85546875" style="24" bestFit="1" customWidth="1"/>
    <col min="9477" max="9477" width="4.5703125" style="24" bestFit="1" customWidth="1"/>
    <col min="9478" max="9478" width="10.140625" style="24" bestFit="1" customWidth="1"/>
    <col min="9479" max="9479" width="12.85546875" style="24" bestFit="1" customWidth="1"/>
    <col min="9480" max="9480" width="16.42578125" style="24" bestFit="1" customWidth="1"/>
    <col min="9481" max="9481" width="11" style="24" bestFit="1" customWidth="1"/>
    <col min="9482" max="9482" width="13.42578125" style="24" bestFit="1" customWidth="1"/>
    <col min="9483" max="9483" width="9.28515625" style="24" bestFit="1" customWidth="1"/>
    <col min="9484" max="9484" width="10.140625" style="24" bestFit="1" customWidth="1"/>
    <col min="9485" max="9485" width="5.42578125" style="24" bestFit="1" customWidth="1"/>
    <col min="9486" max="9486" width="12.140625" style="24" bestFit="1" customWidth="1"/>
    <col min="9487" max="9487" width="7.28515625" style="24" bestFit="1" customWidth="1"/>
    <col min="9488" max="9488" width="12.85546875" style="24" bestFit="1" customWidth="1"/>
    <col min="9489" max="9489" width="11" style="24" bestFit="1" customWidth="1"/>
    <col min="9490" max="9490" width="11.5703125" style="24" bestFit="1" customWidth="1"/>
    <col min="9491" max="9495" width="9.140625" style="24"/>
    <col min="9496" max="9496" width="9.28515625" style="24" bestFit="1" customWidth="1"/>
    <col min="9497" max="9499" width="11.140625" style="24" customWidth="1"/>
    <col min="9500" max="9500" width="13.7109375" style="24" customWidth="1"/>
    <col min="9501" max="9728" width="9.140625" style="24"/>
    <col min="9729" max="9729" width="2.28515625" style="24" customWidth="1"/>
    <col min="9730" max="9730" width="20" style="24" customWidth="1"/>
    <col min="9731" max="9731" width="29.140625" style="24" bestFit="1" customWidth="1"/>
    <col min="9732" max="9732" width="11.85546875" style="24" bestFit="1" customWidth="1"/>
    <col min="9733" max="9733" width="4.5703125" style="24" bestFit="1" customWidth="1"/>
    <col min="9734" max="9734" width="10.140625" style="24" bestFit="1" customWidth="1"/>
    <col min="9735" max="9735" width="12.85546875" style="24" bestFit="1" customWidth="1"/>
    <col min="9736" max="9736" width="16.42578125" style="24" bestFit="1" customWidth="1"/>
    <col min="9737" max="9737" width="11" style="24" bestFit="1" customWidth="1"/>
    <col min="9738" max="9738" width="13.42578125" style="24" bestFit="1" customWidth="1"/>
    <col min="9739" max="9739" width="9.28515625" style="24" bestFit="1" customWidth="1"/>
    <col min="9740" max="9740" width="10.140625" style="24" bestFit="1" customWidth="1"/>
    <col min="9741" max="9741" width="5.42578125" style="24" bestFit="1" customWidth="1"/>
    <col min="9742" max="9742" width="12.140625" style="24" bestFit="1" customWidth="1"/>
    <col min="9743" max="9743" width="7.28515625" style="24" bestFit="1" customWidth="1"/>
    <col min="9744" max="9744" width="12.85546875" style="24" bestFit="1" customWidth="1"/>
    <col min="9745" max="9745" width="11" style="24" bestFit="1" customWidth="1"/>
    <col min="9746" max="9746" width="11.5703125" style="24" bestFit="1" customWidth="1"/>
    <col min="9747" max="9751" width="9.140625" style="24"/>
    <col min="9752" max="9752" width="9.28515625" style="24" bestFit="1" customWidth="1"/>
    <col min="9753" max="9755" width="11.140625" style="24" customWidth="1"/>
    <col min="9756" max="9756" width="13.7109375" style="24" customWidth="1"/>
    <col min="9757" max="9984" width="9.140625" style="24"/>
    <col min="9985" max="9985" width="2.28515625" style="24" customWidth="1"/>
    <col min="9986" max="9986" width="20" style="24" customWidth="1"/>
    <col min="9987" max="9987" width="29.140625" style="24" bestFit="1" customWidth="1"/>
    <col min="9988" max="9988" width="11.85546875" style="24" bestFit="1" customWidth="1"/>
    <col min="9989" max="9989" width="4.5703125" style="24" bestFit="1" customWidth="1"/>
    <col min="9990" max="9990" width="10.140625" style="24" bestFit="1" customWidth="1"/>
    <col min="9991" max="9991" width="12.85546875" style="24" bestFit="1" customWidth="1"/>
    <col min="9992" max="9992" width="16.42578125" style="24" bestFit="1" customWidth="1"/>
    <col min="9993" max="9993" width="11" style="24" bestFit="1" customWidth="1"/>
    <col min="9994" max="9994" width="13.42578125" style="24" bestFit="1" customWidth="1"/>
    <col min="9995" max="9995" width="9.28515625" style="24" bestFit="1" customWidth="1"/>
    <col min="9996" max="9996" width="10.140625" style="24" bestFit="1" customWidth="1"/>
    <col min="9997" max="9997" width="5.42578125" style="24" bestFit="1" customWidth="1"/>
    <col min="9998" max="9998" width="12.140625" style="24" bestFit="1" customWidth="1"/>
    <col min="9999" max="9999" width="7.28515625" style="24" bestFit="1" customWidth="1"/>
    <col min="10000" max="10000" width="12.85546875" style="24" bestFit="1" customWidth="1"/>
    <col min="10001" max="10001" width="11" style="24" bestFit="1" customWidth="1"/>
    <col min="10002" max="10002" width="11.5703125" style="24" bestFit="1" customWidth="1"/>
    <col min="10003" max="10007" width="9.140625" style="24"/>
    <col min="10008" max="10008" width="9.28515625" style="24" bestFit="1" customWidth="1"/>
    <col min="10009" max="10011" width="11.140625" style="24" customWidth="1"/>
    <col min="10012" max="10012" width="13.7109375" style="24" customWidth="1"/>
    <col min="10013" max="10240" width="9.140625" style="24"/>
    <col min="10241" max="10241" width="2.28515625" style="24" customWidth="1"/>
    <col min="10242" max="10242" width="20" style="24" customWidth="1"/>
    <col min="10243" max="10243" width="29.140625" style="24" bestFit="1" customWidth="1"/>
    <col min="10244" max="10244" width="11.85546875" style="24" bestFit="1" customWidth="1"/>
    <col min="10245" max="10245" width="4.5703125" style="24" bestFit="1" customWidth="1"/>
    <col min="10246" max="10246" width="10.140625" style="24" bestFit="1" customWidth="1"/>
    <col min="10247" max="10247" width="12.85546875" style="24" bestFit="1" customWidth="1"/>
    <col min="10248" max="10248" width="16.42578125" style="24" bestFit="1" customWidth="1"/>
    <col min="10249" max="10249" width="11" style="24" bestFit="1" customWidth="1"/>
    <col min="10250" max="10250" width="13.42578125" style="24" bestFit="1" customWidth="1"/>
    <col min="10251" max="10251" width="9.28515625" style="24" bestFit="1" customWidth="1"/>
    <col min="10252" max="10252" width="10.140625" style="24" bestFit="1" customWidth="1"/>
    <col min="10253" max="10253" width="5.42578125" style="24" bestFit="1" customWidth="1"/>
    <col min="10254" max="10254" width="12.140625" style="24" bestFit="1" customWidth="1"/>
    <col min="10255" max="10255" width="7.28515625" style="24" bestFit="1" customWidth="1"/>
    <col min="10256" max="10256" width="12.85546875" style="24" bestFit="1" customWidth="1"/>
    <col min="10257" max="10257" width="11" style="24" bestFit="1" customWidth="1"/>
    <col min="10258" max="10258" width="11.5703125" style="24" bestFit="1" customWidth="1"/>
    <col min="10259" max="10263" width="9.140625" style="24"/>
    <col min="10264" max="10264" width="9.28515625" style="24" bestFit="1" customWidth="1"/>
    <col min="10265" max="10267" width="11.140625" style="24" customWidth="1"/>
    <col min="10268" max="10268" width="13.7109375" style="24" customWidth="1"/>
    <col min="10269" max="10496" width="9.140625" style="24"/>
    <col min="10497" max="10497" width="2.28515625" style="24" customWidth="1"/>
    <col min="10498" max="10498" width="20" style="24" customWidth="1"/>
    <col min="10499" max="10499" width="29.140625" style="24" bestFit="1" customWidth="1"/>
    <col min="10500" max="10500" width="11.85546875" style="24" bestFit="1" customWidth="1"/>
    <col min="10501" max="10501" width="4.5703125" style="24" bestFit="1" customWidth="1"/>
    <col min="10502" max="10502" width="10.140625" style="24" bestFit="1" customWidth="1"/>
    <col min="10503" max="10503" width="12.85546875" style="24" bestFit="1" customWidth="1"/>
    <col min="10504" max="10504" width="16.42578125" style="24" bestFit="1" customWidth="1"/>
    <col min="10505" max="10505" width="11" style="24" bestFit="1" customWidth="1"/>
    <col min="10506" max="10506" width="13.42578125" style="24" bestFit="1" customWidth="1"/>
    <col min="10507" max="10507" width="9.28515625" style="24" bestFit="1" customWidth="1"/>
    <col min="10508" max="10508" width="10.140625" style="24" bestFit="1" customWidth="1"/>
    <col min="10509" max="10509" width="5.42578125" style="24" bestFit="1" customWidth="1"/>
    <col min="10510" max="10510" width="12.140625" style="24" bestFit="1" customWidth="1"/>
    <col min="10511" max="10511" width="7.28515625" style="24" bestFit="1" customWidth="1"/>
    <col min="10512" max="10512" width="12.85546875" style="24" bestFit="1" customWidth="1"/>
    <col min="10513" max="10513" width="11" style="24" bestFit="1" customWidth="1"/>
    <col min="10514" max="10514" width="11.5703125" style="24" bestFit="1" customWidth="1"/>
    <col min="10515" max="10519" width="9.140625" style="24"/>
    <col min="10520" max="10520" width="9.28515625" style="24" bestFit="1" customWidth="1"/>
    <col min="10521" max="10523" width="11.140625" style="24" customWidth="1"/>
    <col min="10524" max="10524" width="13.7109375" style="24" customWidth="1"/>
    <col min="10525" max="10752" width="9.140625" style="24"/>
    <col min="10753" max="10753" width="2.28515625" style="24" customWidth="1"/>
    <col min="10754" max="10754" width="20" style="24" customWidth="1"/>
    <col min="10755" max="10755" width="29.140625" style="24" bestFit="1" customWidth="1"/>
    <col min="10756" max="10756" width="11.85546875" style="24" bestFit="1" customWidth="1"/>
    <col min="10757" max="10757" width="4.5703125" style="24" bestFit="1" customWidth="1"/>
    <col min="10758" max="10758" width="10.140625" style="24" bestFit="1" customWidth="1"/>
    <col min="10759" max="10759" width="12.85546875" style="24" bestFit="1" customWidth="1"/>
    <col min="10760" max="10760" width="16.42578125" style="24" bestFit="1" customWidth="1"/>
    <col min="10761" max="10761" width="11" style="24" bestFit="1" customWidth="1"/>
    <col min="10762" max="10762" width="13.42578125" style="24" bestFit="1" customWidth="1"/>
    <col min="10763" max="10763" width="9.28515625" style="24" bestFit="1" customWidth="1"/>
    <col min="10764" max="10764" width="10.140625" style="24" bestFit="1" customWidth="1"/>
    <col min="10765" max="10765" width="5.42578125" style="24" bestFit="1" customWidth="1"/>
    <col min="10766" max="10766" width="12.140625" style="24" bestFit="1" customWidth="1"/>
    <col min="10767" max="10767" width="7.28515625" style="24" bestFit="1" customWidth="1"/>
    <col min="10768" max="10768" width="12.85546875" style="24" bestFit="1" customWidth="1"/>
    <col min="10769" max="10769" width="11" style="24" bestFit="1" customWidth="1"/>
    <col min="10770" max="10770" width="11.5703125" style="24" bestFit="1" customWidth="1"/>
    <col min="10771" max="10775" width="9.140625" style="24"/>
    <col min="10776" max="10776" width="9.28515625" style="24" bestFit="1" customWidth="1"/>
    <col min="10777" max="10779" width="11.140625" style="24" customWidth="1"/>
    <col min="10780" max="10780" width="13.7109375" style="24" customWidth="1"/>
    <col min="10781" max="11008" width="9.140625" style="24"/>
    <col min="11009" max="11009" width="2.28515625" style="24" customWidth="1"/>
    <col min="11010" max="11010" width="20" style="24" customWidth="1"/>
    <col min="11011" max="11011" width="29.140625" style="24" bestFit="1" customWidth="1"/>
    <col min="11012" max="11012" width="11.85546875" style="24" bestFit="1" customWidth="1"/>
    <col min="11013" max="11013" width="4.5703125" style="24" bestFit="1" customWidth="1"/>
    <col min="11014" max="11014" width="10.140625" style="24" bestFit="1" customWidth="1"/>
    <col min="11015" max="11015" width="12.85546875" style="24" bestFit="1" customWidth="1"/>
    <col min="11016" max="11016" width="16.42578125" style="24" bestFit="1" customWidth="1"/>
    <col min="11017" max="11017" width="11" style="24" bestFit="1" customWidth="1"/>
    <col min="11018" max="11018" width="13.42578125" style="24" bestFit="1" customWidth="1"/>
    <col min="11019" max="11019" width="9.28515625" style="24" bestFit="1" customWidth="1"/>
    <col min="11020" max="11020" width="10.140625" style="24" bestFit="1" customWidth="1"/>
    <col min="11021" max="11021" width="5.42578125" style="24" bestFit="1" customWidth="1"/>
    <col min="11022" max="11022" width="12.140625" style="24" bestFit="1" customWidth="1"/>
    <col min="11023" max="11023" width="7.28515625" style="24" bestFit="1" customWidth="1"/>
    <col min="11024" max="11024" width="12.85546875" style="24" bestFit="1" customWidth="1"/>
    <col min="11025" max="11025" width="11" style="24" bestFit="1" customWidth="1"/>
    <col min="11026" max="11026" width="11.5703125" style="24" bestFit="1" customWidth="1"/>
    <col min="11027" max="11031" width="9.140625" style="24"/>
    <col min="11032" max="11032" width="9.28515625" style="24" bestFit="1" customWidth="1"/>
    <col min="11033" max="11035" width="11.140625" style="24" customWidth="1"/>
    <col min="11036" max="11036" width="13.7109375" style="24" customWidth="1"/>
    <col min="11037" max="11264" width="9.140625" style="24"/>
    <col min="11265" max="11265" width="2.28515625" style="24" customWidth="1"/>
    <col min="11266" max="11266" width="20" style="24" customWidth="1"/>
    <col min="11267" max="11267" width="29.140625" style="24" bestFit="1" customWidth="1"/>
    <col min="11268" max="11268" width="11.85546875" style="24" bestFit="1" customWidth="1"/>
    <col min="11269" max="11269" width="4.5703125" style="24" bestFit="1" customWidth="1"/>
    <col min="11270" max="11270" width="10.140625" style="24" bestFit="1" customWidth="1"/>
    <col min="11271" max="11271" width="12.85546875" style="24" bestFit="1" customWidth="1"/>
    <col min="11272" max="11272" width="16.42578125" style="24" bestFit="1" customWidth="1"/>
    <col min="11273" max="11273" width="11" style="24" bestFit="1" customWidth="1"/>
    <col min="11274" max="11274" width="13.42578125" style="24" bestFit="1" customWidth="1"/>
    <col min="11275" max="11275" width="9.28515625" style="24" bestFit="1" customWidth="1"/>
    <col min="11276" max="11276" width="10.140625" style="24" bestFit="1" customWidth="1"/>
    <col min="11277" max="11277" width="5.42578125" style="24" bestFit="1" customWidth="1"/>
    <col min="11278" max="11278" width="12.140625" style="24" bestFit="1" customWidth="1"/>
    <col min="11279" max="11279" width="7.28515625" style="24" bestFit="1" customWidth="1"/>
    <col min="11280" max="11280" width="12.85546875" style="24" bestFit="1" customWidth="1"/>
    <col min="11281" max="11281" width="11" style="24" bestFit="1" customWidth="1"/>
    <col min="11282" max="11282" width="11.5703125" style="24" bestFit="1" customWidth="1"/>
    <col min="11283" max="11287" width="9.140625" style="24"/>
    <col min="11288" max="11288" width="9.28515625" style="24" bestFit="1" customWidth="1"/>
    <col min="11289" max="11291" width="11.140625" style="24" customWidth="1"/>
    <col min="11292" max="11292" width="13.7109375" style="24" customWidth="1"/>
    <col min="11293" max="11520" width="9.140625" style="24"/>
    <col min="11521" max="11521" width="2.28515625" style="24" customWidth="1"/>
    <col min="11522" max="11522" width="20" style="24" customWidth="1"/>
    <col min="11523" max="11523" width="29.140625" style="24" bestFit="1" customWidth="1"/>
    <col min="11524" max="11524" width="11.85546875" style="24" bestFit="1" customWidth="1"/>
    <col min="11525" max="11525" width="4.5703125" style="24" bestFit="1" customWidth="1"/>
    <col min="11526" max="11526" width="10.140625" style="24" bestFit="1" customWidth="1"/>
    <col min="11527" max="11527" width="12.85546875" style="24" bestFit="1" customWidth="1"/>
    <col min="11528" max="11528" width="16.42578125" style="24" bestFit="1" customWidth="1"/>
    <col min="11529" max="11529" width="11" style="24" bestFit="1" customWidth="1"/>
    <col min="11530" max="11530" width="13.42578125" style="24" bestFit="1" customWidth="1"/>
    <col min="11531" max="11531" width="9.28515625" style="24" bestFit="1" customWidth="1"/>
    <col min="11532" max="11532" width="10.140625" style="24" bestFit="1" customWidth="1"/>
    <col min="11533" max="11533" width="5.42578125" style="24" bestFit="1" customWidth="1"/>
    <col min="11534" max="11534" width="12.140625" style="24" bestFit="1" customWidth="1"/>
    <col min="11535" max="11535" width="7.28515625" style="24" bestFit="1" customWidth="1"/>
    <col min="11536" max="11536" width="12.85546875" style="24" bestFit="1" customWidth="1"/>
    <col min="11537" max="11537" width="11" style="24" bestFit="1" customWidth="1"/>
    <col min="11538" max="11538" width="11.5703125" style="24" bestFit="1" customWidth="1"/>
    <col min="11539" max="11543" width="9.140625" style="24"/>
    <col min="11544" max="11544" width="9.28515625" style="24" bestFit="1" customWidth="1"/>
    <col min="11545" max="11547" width="11.140625" style="24" customWidth="1"/>
    <col min="11548" max="11548" width="13.7109375" style="24" customWidth="1"/>
    <col min="11549" max="11776" width="9.140625" style="24"/>
    <col min="11777" max="11777" width="2.28515625" style="24" customWidth="1"/>
    <col min="11778" max="11778" width="20" style="24" customWidth="1"/>
    <col min="11779" max="11779" width="29.140625" style="24" bestFit="1" customWidth="1"/>
    <col min="11780" max="11780" width="11.85546875" style="24" bestFit="1" customWidth="1"/>
    <col min="11781" max="11781" width="4.5703125" style="24" bestFit="1" customWidth="1"/>
    <col min="11782" max="11782" width="10.140625" style="24" bestFit="1" customWidth="1"/>
    <col min="11783" max="11783" width="12.85546875" style="24" bestFit="1" customWidth="1"/>
    <col min="11784" max="11784" width="16.42578125" style="24" bestFit="1" customWidth="1"/>
    <col min="11785" max="11785" width="11" style="24" bestFit="1" customWidth="1"/>
    <col min="11786" max="11786" width="13.42578125" style="24" bestFit="1" customWidth="1"/>
    <col min="11787" max="11787" width="9.28515625" style="24" bestFit="1" customWidth="1"/>
    <col min="11788" max="11788" width="10.140625" style="24" bestFit="1" customWidth="1"/>
    <col min="11789" max="11789" width="5.42578125" style="24" bestFit="1" customWidth="1"/>
    <col min="11790" max="11790" width="12.140625" style="24" bestFit="1" customWidth="1"/>
    <col min="11791" max="11791" width="7.28515625" style="24" bestFit="1" customWidth="1"/>
    <col min="11792" max="11792" width="12.85546875" style="24" bestFit="1" customWidth="1"/>
    <col min="11793" max="11793" width="11" style="24" bestFit="1" customWidth="1"/>
    <col min="11794" max="11794" width="11.5703125" style="24" bestFit="1" customWidth="1"/>
    <col min="11795" max="11799" width="9.140625" style="24"/>
    <col min="11800" max="11800" width="9.28515625" style="24" bestFit="1" customWidth="1"/>
    <col min="11801" max="11803" width="11.140625" style="24" customWidth="1"/>
    <col min="11804" max="11804" width="13.7109375" style="24" customWidth="1"/>
    <col min="11805" max="12032" width="9.140625" style="24"/>
    <col min="12033" max="12033" width="2.28515625" style="24" customWidth="1"/>
    <col min="12034" max="12034" width="20" style="24" customWidth="1"/>
    <col min="12035" max="12035" width="29.140625" style="24" bestFit="1" customWidth="1"/>
    <col min="12036" max="12036" width="11.85546875" style="24" bestFit="1" customWidth="1"/>
    <col min="12037" max="12037" width="4.5703125" style="24" bestFit="1" customWidth="1"/>
    <col min="12038" max="12038" width="10.140625" style="24" bestFit="1" customWidth="1"/>
    <col min="12039" max="12039" width="12.85546875" style="24" bestFit="1" customWidth="1"/>
    <col min="12040" max="12040" width="16.42578125" style="24" bestFit="1" customWidth="1"/>
    <col min="12041" max="12041" width="11" style="24" bestFit="1" customWidth="1"/>
    <col min="12042" max="12042" width="13.42578125" style="24" bestFit="1" customWidth="1"/>
    <col min="12043" max="12043" width="9.28515625" style="24" bestFit="1" customWidth="1"/>
    <col min="12044" max="12044" width="10.140625" style="24" bestFit="1" customWidth="1"/>
    <col min="12045" max="12045" width="5.42578125" style="24" bestFit="1" customWidth="1"/>
    <col min="12046" max="12046" width="12.140625" style="24" bestFit="1" customWidth="1"/>
    <col min="12047" max="12047" width="7.28515625" style="24" bestFit="1" customWidth="1"/>
    <col min="12048" max="12048" width="12.85546875" style="24" bestFit="1" customWidth="1"/>
    <col min="12049" max="12049" width="11" style="24" bestFit="1" customWidth="1"/>
    <col min="12050" max="12050" width="11.5703125" style="24" bestFit="1" customWidth="1"/>
    <col min="12051" max="12055" width="9.140625" style="24"/>
    <col min="12056" max="12056" width="9.28515625" style="24" bestFit="1" customWidth="1"/>
    <col min="12057" max="12059" width="11.140625" style="24" customWidth="1"/>
    <col min="12060" max="12060" width="13.7109375" style="24" customWidth="1"/>
    <col min="12061" max="12288" width="9.140625" style="24"/>
    <col min="12289" max="12289" width="2.28515625" style="24" customWidth="1"/>
    <col min="12290" max="12290" width="20" style="24" customWidth="1"/>
    <col min="12291" max="12291" width="29.140625" style="24" bestFit="1" customWidth="1"/>
    <col min="12292" max="12292" width="11.85546875" style="24" bestFit="1" customWidth="1"/>
    <col min="12293" max="12293" width="4.5703125" style="24" bestFit="1" customWidth="1"/>
    <col min="12294" max="12294" width="10.140625" style="24" bestFit="1" customWidth="1"/>
    <col min="12295" max="12295" width="12.85546875" style="24" bestFit="1" customWidth="1"/>
    <col min="12296" max="12296" width="16.42578125" style="24" bestFit="1" customWidth="1"/>
    <col min="12297" max="12297" width="11" style="24" bestFit="1" customWidth="1"/>
    <col min="12298" max="12298" width="13.42578125" style="24" bestFit="1" customWidth="1"/>
    <col min="12299" max="12299" width="9.28515625" style="24" bestFit="1" customWidth="1"/>
    <col min="12300" max="12300" width="10.140625" style="24" bestFit="1" customWidth="1"/>
    <col min="12301" max="12301" width="5.42578125" style="24" bestFit="1" customWidth="1"/>
    <col min="12302" max="12302" width="12.140625" style="24" bestFit="1" customWidth="1"/>
    <col min="12303" max="12303" width="7.28515625" style="24" bestFit="1" customWidth="1"/>
    <col min="12304" max="12304" width="12.85546875" style="24" bestFit="1" customWidth="1"/>
    <col min="12305" max="12305" width="11" style="24" bestFit="1" customWidth="1"/>
    <col min="12306" max="12306" width="11.5703125" style="24" bestFit="1" customWidth="1"/>
    <col min="12307" max="12311" width="9.140625" style="24"/>
    <col min="12312" max="12312" width="9.28515625" style="24" bestFit="1" customWidth="1"/>
    <col min="12313" max="12315" width="11.140625" style="24" customWidth="1"/>
    <col min="12316" max="12316" width="13.7109375" style="24" customWidth="1"/>
    <col min="12317" max="12544" width="9.140625" style="24"/>
    <col min="12545" max="12545" width="2.28515625" style="24" customWidth="1"/>
    <col min="12546" max="12546" width="20" style="24" customWidth="1"/>
    <col min="12547" max="12547" width="29.140625" style="24" bestFit="1" customWidth="1"/>
    <col min="12548" max="12548" width="11.85546875" style="24" bestFit="1" customWidth="1"/>
    <col min="12549" max="12549" width="4.5703125" style="24" bestFit="1" customWidth="1"/>
    <col min="12550" max="12550" width="10.140625" style="24" bestFit="1" customWidth="1"/>
    <col min="12551" max="12551" width="12.85546875" style="24" bestFit="1" customWidth="1"/>
    <col min="12552" max="12552" width="16.42578125" style="24" bestFit="1" customWidth="1"/>
    <col min="12553" max="12553" width="11" style="24" bestFit="1" customWidth="1"/>
    <col min="12554" max="12554" width="13.42578125" style="24" bestFit="1" customWidth="1"/>
    <col min="12555" max="12555" width="9.28515625" style="24" bestFit="1" customWidth="1"/>
    <col min="12556" max="12556" width="10.140625" style="24" bestFit="1" customWidth="1"/>
    <col min="12557" max="12557" width="5.42578125" style="24" bestFit="1" customWidth="1"/>
    <col min="12558" max="12558" width="12.140625" style="24" bestFit="1" customWidth="1"/>
    <col min="12559" max="12559" width="7.28515625" style="24" bestFit="1" customWidth="1"/>
    <col min="12560" max="12560" width="12.85546875" style="24" bestFit="1" customWidth="1"/>
    <col min="12561" max="12561" width="11" style="24" bestFit="1" customWidth="1"/>
    <col min="12562" max="12562" width="11.5703125" style="24" bestFit="1" customWidth="1"/>
    <col min="12563" max="12567" width="9.140625" style="24"/>
    <col min="12568" max="12568" width="9.28515625" style="24" bestFit="1" customWidth="1"/>
    <col min="12569" max="12571" width="11.140625" style="24" customWidth="1"/>
    <col min="12572" max="12572" width="13.7109375" style="24" customWidth="1"/>
    <col min="12573" max="12800" width="9.140625" style="24"/>
    <col min="12801" max="12801" width="2.28515625" style="24" customWidth="1"/>
    <col min="12802" max="12802" width="20" style="24" customWidth="1"/>
    <col min="12803" max="12803" width="29.140625" style="24" bestFit="1" customWidth="1"/>
    <col min="12804" max="12804" width="11.85546875" style="24" bestFit="1" customWidth="1"/>
    <col min="12805" max="12805" width="4.5703125" style="24" bestFit="1" customWidth="1"/>
    <col min="12806" max="12806" width="10.140625" style="24" bestFit="1" customWidth="1"/>
    <col min="12807" max="12807" width="12.85546875" style="24" bestFit="1" customWidth="1"/>
    <col min="12808" max="12808" width="16.42578125" style="24" bestFit="1" customWidth="1"/>
    <col min="12809" max="12809" width="11" style="24" bestFit="1" customWidth="1"/>
    <col min="12810" max="12810" width="13.42578125" style="24" bestFit="1" customWidth="1"/>
    <col min="12811" max="12811" width="9.28515625" style="24" bestFit="1" customWidth="1"/>
    <col min="12812" max="12812" width="10.140625" style="24" bestFit="1" customWidth="1"/>
    <col min="12813" max="12813" width="5.42578125" style="24" bestFit="1" customWidth="1"/>
    <col min="12814" max="12814" width="12.140625" style="24" bestFit="1" customWidth="1"/>
    <col min="12815" max="12815" width="7.28515625" style="24" bestFit="1" customWidth="1"/>
    <col min="12816" max="12816" width="12.85546875" style="24" bestFit="1" customWidth="1"/>
    <col min="12817" max="12817" width="11" style="24" bestFit="1" customWidth="1"/>
    <col min="12818" max="12818" width="11.5703125" style="24" bestFit="1" customWidth="1"/>
    <col min="12819" max="12823" width="9.140625" style="24"/>
    <col min="12824" max="12824" width="9.28515625" style="24" bestFit="1" customWidth="1"/>
    <col min="12825" max="12827" width="11.140625" style="24" customWidth="1"/>
    <col min="12828" max="12828" width="13.7109375" style="24" customWidth="1"/>
    <col min="12829" max="13056" width="9.140625" style="24"/>
    <col min="13057" max="13057" width="2.28515625" style="24" customWidth="1"/>
    <col min="13058" max="13058" width="20" style="24" customWidth="1"/>
    <col min="13059" max="13059" width="29.140625" style="24" bestFit="1" customWidth="1"/>
    <col min="13060" max="13060" width="11.85546875" style="24" bestFit="1" customWidth="1"/>
    <col min="13061" max="13061" width="4.5703125" style="24" bestFit="1" customWidth="1"/>
    <col min="13062" max="13062" width="10.140625" style="24" bestFit="1" customWidth="1"/>
    <col min="13063" max="13063" width="12.85546875" style="24" bestFit="1" customWidth="1"/>
    <col min="13064" max="13064" width="16.42578125" style="24" bestFit="1" customWidth="1"/>
    <col min="13065" max="13065" width="11" style="24" bestFit="1" customWidth="1"/>
    <col min="13066" max="13066" width="13.42578125" style="24" bestFit="1" customWidth="1"/>
    <col min="13067" max="13067" width="9.28515625" style="24" bestFit="1" customWidth="1"/>
    <col min="13068" max="13068" width="10.140625" style="24" bestFit="1" customWidth="1"/>
    <col min="13069" max="13069" width="5.42578125" style="24" bestFit="1" customWidth="1"/>
    <col min="13070" max="13070" width="12.140625" style="24" bestFit="1" customWidth="1"/>
    <col min="13071" max="13071" width="7.28515625" style="24" bestFit="1" customWidth="1"/>
    <col min="13072" max="13072" width="12.85546875" style="24" bestFit="1" customWidth="1"/>
    <col min="13073" max="13073" width="11" style="24" bestFit="1" customWidth="1"/>
    <col min="13074" max="13074" width="11.5703125" style="24" bestFit="1" customWidth="1"/>
    <col min="13075" max="13079" width="9.140625" style="24"/>
    <col min="13080" max="13080" width="9.28515625" style="24" bestFit="1" customWidth="1"/>
    <col min="13081" max="13083" width="11.140625" style="24" customWidth="1"/>
    <col min="13084" max="13084" width="13.7109375" style="24" customWidth="1"/>
    <col min="13085" max="13312" width="9.140625" style="24"/>
    <col min="13313" max="13313" width="2.28515625" style="24" customWidth="1"/>
    <col min="13314" max="13314" width="20" style="24" customWidth="1"/>
    <col min="13315" max="13315" width="29.140625" style="24" bestFit="1" customWidth="1"/>
    <col min="13316" max="13316" width="11.85546875" style="24" bestFit="1" customWidth="1"/>
    <col min="13317" max="13317" width="4.5703125" style="24" bestFit="1" customWidth="1"/>
    <col min="13318" max="13318" width="10.140625" style="24" bestFit="1" customWidth="1"/>
    <col min="13319" max="13319" width="12.85546875" style="24" bestFit="1" customWidth="1"/>
    <col min="13320" max="13320" width="16.42578125" style="24" bestFit="1" customWidth="1"/>
    <col min="13321" max="13321" width="11" style="24" bestFit="1" customWidth="1"/>
    <col min="13322" max="13322" width="13.42578125" style="24" bestFit="1" customWidth="1"/>
    <col min="13323" max="13323" width="9.28515625" style="24" bestFit="1" customWidth="1"/>
    <col min="13324" max="13324" width="10.140625" style="24" bestFit="1" customWidth="1"/>
    <col min="13325" max="13325" width="5.42578125" style="24" bestFit="1" customWidth="1"/>
    <col min="13326" max="13326" width="12.140625" style="24" bestFit="1" customWidth="1"/>
    <col min="13327" max="13327" width="7.28515625" style="24" bestFit="1" customWidth="1"/>
    <col min="13328" max="13328" width="12.85546875" style="24" bestFit="1" customWidth="1"/>
    <col min="13329" max="13329" width="11" style="24" bestFit="1" customWidth="1"/>
    <col min="13330" max="13330" width="11.5703125" style="24" bestFit="1" customWidth="1"/>
    <col min="13331" max="13335" width="9.140625" style="24"/>
    <col min="13336" max="13336" width="9.28515625" style="24" bestFit="1" customWidth="1"/>
    <col min="13337" max="13339" width="11.140625" style="24" customWidth="1"/>
    <col min="13340" max="13340" width="13.7109375" style="24" customWidth="1"/>
    <col min="13341" max="13568" width="9.140625" style="24"/>
    <col min="13569" max="13569" width="2.28515625" style="24" customWidth="1"/>
    <col min="13570" max="13570" width="20" style="24" customWidth="1"/>
    <col min="13571" max="13571" width="29.140625" style="24" bestFit="1" customWidth="1"/>
    <col min="13572" max="13572" width="11.85546875" style="24" bestFit="1" customWidth="1"/>
    <col min="13573" max="13573" width="4.5703125" style="24" bestFit="1" customWidth="1"/>
    <col min="13574" max="13574" width="10.140625" style="24" bestFit="1" customWidth="1"/>
    <col min="13575" max="13575" width="12.85546875" style="24" bestFit="1" customWidth="1"/>
    <col min="13576" max="13576" width="16.42578125" style="24" bestFit="1" customWidth="1"/>
    <col min="13577" max="13577" width="11" style="24" bestFit="1" customWidth="1"/>
    <col min="13578" max="13578" width="13.42578125" style="24" bestFit="1" customWidth="1"/>
    <col min="13579" max="13579" width="9.28515625" style="24" bestFit="1" customWidth="1"/>
    <col min="13580" max="13580" width="10.140625" style="24" bestFit="1" customWidth="1"/>
    <col min="13581" max="13581" width="5.42578125" style="24" bestFit="1" customWidth="1"/>
    <col min="13582" max="13582" width="12.140625" style="24" bestFit="1" customWidth="1"/>
    <col min="13583" max="13583" width="7.28515625" style="24" bestFit="1" customWidth="1"/>
    <col min="13584" max="13584" width="12.85546875" style="24" bestFit="1" customWidth="1"/>
    <col min="13585" max="13585" width="11" style="24" bestFit="1" customWidth="1"/>
    <col min="13586" max="13586" width="11.5703125" style="24" bestFit="1" customWidth="1"/>
    <col min="13587" max="13591" width="9.140625" style="24"/>
    <col min="13592" max="13592" width="9.28515625" style="24" bestFit="1" customWidth="1"/>
    <col min="13593" max="13595" width="11.140625" style="24" customWidth="1"/>
    <col min="13596" max="13596" width="13.7109375" style="24" customWidth="1"/>
    <col min="13597" max="13824" width="9.140625" style="24"/>
    <col min="13825" max="13825" width="2.28515625" style="24" customWidth="1"/>
    <col min="13826" max="13826" width="20" style="24" customWidth="1"/>
    <col min="13827" max="13827" width="29.140625" style="24" bestFit="1" customWidth="1"/>
    <col min="13828" max="13828" width="11.85546875" style="24" bestFit="1" customWidth="1"/>
    <col min="13829" max="13829" width="4.5703125" style="24" bestFit="1" customWidth="1"/>
    <col min="13830" max="13830" width="10.140625" style="24" bestFit="1" customWidth="1"/>
    <col min="13831" max="13831" width="12.85546875" style="24" bestFit="1" customWidth="1"/>
    <col min="13832" max="13832" width="16.42578125" style="24" bestFit="1" customWidth="1"/>
    <col min="13833" max="13833" width="11" style="24" bestFit="1" customWidth="1"/>
    <col min="13834" max="13834" width="13.42578125" style="24" bestFit="1" customWidth="1"/>
    <col min="13835" max="13835" width="9.28515625" style="24" bestFit="1" customWidth="1"/>
    <col min="13836" max="13836" width="10.140625" style="24" bestFit="1" customWidth="1"/>
    <col min="13837" max="13837" width="5.42578125" style="24" bestFit="1" customWidth="1"/>
    <col min="13838" max="13838" width="12.140625" style="24" bestFit="1" customWidth="1"/>
    <col min="13839" max="13839" width="7.28515625" style="24" bestFit="1" customWidth="1"/>
    <col min="13840" max="13840" width="12.85546875" style="24" bestFit="1" customWidth="1"/>
    <col min="13841" max="13841" width="11" style="24" bestFit="1" customWidth="1"/>
    <col min="13842" max="13842" width="11.5703125" style="24" bestFit="1" customWidth="1"/>
    <col min="13843" max="13847" width="9.140625" style="24"/>
    <col min="13848" max="13848" width="9.28515625" style="24" bestFit="1" customWidth="1"/>
    <col min="13849" max="13851" width="11.140625" style="24" customWidth="1"/>
    <col min="13852" max="13852" width="13.7109375" style="24" customWidth="1"/>
    <col min="13853" max="14080" width="9.140625" style="24"/>
    <col min="14081" max="14081" width="2.28515625" style="24" customWidth="1"/>
    <col min="14082" max="14082" width="20" style="24" customWidth="1"/>
    <col min="14083" max="14083" width="29.140625" style="24" bestFit="1" customWidth="1"/>
    <col min="14084" max="14084" width="11.85546875" style="24" bestFit="1" customWidth="1"/>
    <col min="14085" max="14085" width="4.5703125" style="24" bestFit="1" customWidth="1"/>
    <col min="14086" max="14086" width="10.140625" style="24" bestFit="1" customWidth="1"/>
    <col min="14087" max="14087" width="12.85546875" style="24" bestFit="1" customWidth="1"/>
    <col min="14088" max="14088" width="16.42578125" style="24" bestFit="1" customWidth="1"/>
    <col min="14089" max="14089" width="11" style="24" bestFit="1" customWidth="1"/>
    <col min="14090" max="14090" width="13.42578125" style="24" bestFit="1" customWidth="1"/>
    <col min="14091" max="14091" width="9.28515625" style="24" bestFit="1" customWidth="1"/>
    <col min="14092" max="14092" width="10.140625" style="24" bestFit="1" customWidth="1"/>
    <col min="14093" max="14093" width="5.42578125" style="24" bestFit="1" customWidth="1"/>
    <col min="14094" max="14094" width="12.140625" style="24" bestFit="1" customWidth="1"/>
    <col min="14095" max="14095" width="7.28515625" style="24" bestFit="1" customWidth="1"/>
    <col min="14096" max="14096" width="12.85546875" style="24" bestFit="1" customWidth="1"/>
    <col min="14097" max="14097" width="11" style="24" bestFit="1" customWidth="1"/>
    <col min="14098" max="14098" width="11.5703125" style="24" bestFit="1" customWidth="1"/>
    <col min="14099" max="14103" width="9.140625" style="24"/>
    <col min="14104" max="14104" width="9.28515625" style="24" bestFit="1" customWidth="1"/>
    <col min="14105" max="14107" width="11.140625" style="24" customWidth="1"/>
    <col min="14108" max="14108" width="13.7109375" style="24" customWidth="1"/>
    <col min="14109" max="14336" width="9.140625" style="24"/>
    <col min="14337" max="14337" width="2.28515625" style="24" customWidth="1"/>
    <col min="14338" max="14338" width="20" style="24" customWidth="1"/>
    <col min="14339" max="14339" width="29.140625" style="24" bestFit="1" customWidth="1"/>
    <col min="14340" max="14340" width="11.85546875" style="24" bestFit="1" customWidth="1"/>
    <col min="14341" max="14341" width="4.5703125" style="24" bestFit="1" customWidth="1"/>
    <col min="14342" max="14342" width="10.140625" style="24" bestFit="1" customWidth="1"/>
    <col min="14343" max="14343" width="12.85546875" style="24" bestFit="1" customWidth="1"/>
    <col min="14344" max="14344" width="16.42578125" style="24" bestFit="1" customWidth="1"/>
    <col min="14345" max="14345" width="11" style="24" bestFit="1" customWidth="1"/>
    <col min="14346" max="14346" width="13.42578125" style="24" bestFit="1" customWidth="1"/>
    <col min="14347" max="14347" width="9.28515625" style="24" bestFit="1" customWidth="1"/>
    <col min="14348" max="14348" width="10.140625" style="24" bestFit="1" customWidth="1"/>
    <col min="14349" max="14349" width="5.42578125" style="24" bestFit="1" customWidth="1"/>
    <col min="14350" max="14350" width="12.140625" style="24" bestFit="1" customWidth="1"/>
    <col min="14351" max="14351" width="7.28515625" style="24" bestFit="1" customWidth="1"/>
    <col min="14352" max="14352" width="12.85546875" style="24" bestFit="1" customWidth="1"/>
    <col min="14353" max="14353" width="11" style="24" bestFit="1" customWidth="1"/>
    <col min="14354" max="14354" width="11.5703125" style="24" bestFit="1" customWidth="1"/>
    <col min="14355" max="14359" width="9.140625" style="24"/>
    <col min="14360" max="14360" width="9.28515625" style="24" bestFit="1" customWidth="1"/>
    <col min="14361" max="14363" width="11.140625" style="24" customWidth="1"/>
    <col min="14364" max="14364" width="13.7109375" style="24" customWidth="1"/>
    <col min="14365" max="14592" width="9.140625" style="24"/>
    <col min="14593" max="14593" width="2.28515625" style="24" customWidth="1"/>
    <col min="14594" max="14594" width="20" style="24" customWidth="1"/>
    <col min="14595" max="14595" width="29.140625" style="24" bestFit="1" customWidth="1"/>
    <col min="14596" max="14596" width="11.85546875" style="24" bestFit="1" customWidth="1"/>
    <col min="14597" max="14597" width="4.5703125" style="24" bestFit="1" customWidth="1"/>
    <col min="14598" max="14598" width="10.140625" style="24" bestFit="1" customWidth="1"/>
    <col min="14599" max="14599" width="12.85546875" style="24" bestFit="1" customWidth="1"/>
    <col min="14600" max="14600" width="16.42578125" style="24" bestFit="1" customWidth="1"/>
    <col min="14601" max="14601" width="11" style="24" bestFit="1" customWidth="1"/>
    <col min="14602" max="14602" width="13.42578125" style="24" bestFit="1" customWidth="1"/>
    <col min="14603" max="14603" width="9.28515625" style="24" bestFit="1" customWidth="1"/>
    <col min="14604" max="14604" width="10.140625" style="24" bestFit="1" customWidth="1"/>
    <col min="14605" max="14605" width="5.42578125" style="24" bestFit="1" customWidth="1"/>
    <col min="14606" max="14606" width="12.140625" style="24" bestFit="1" customWidth="1"/>
    <col min="14607" max="14607" width="7.28515625" style="24" bestFit="1" customWidth="1"/>
    <col min="14608" max="14608" width="12.85546875" style="24" bestFit="1" customWidth="1"/>
    <col min="14609" max="14609" width="11" style="24" bestFit="1" customWidth="1"/>
    <col min="14610" max="14610" width="11.5703125" style="24" bestFit="1" customWidth="1"/>
    <col min="14611" max="14615" width="9.140625" style="24"/>
    <col min="14616" max="14616" width="9.28515625" style="24" bestFit="1" customWidth="1"/>
    <col min="14617" max="14619" width="11.140625" style="24" customWidth="1"/>
    <col min="14620" max="14620" width="13.7109375" style="24" customWidth="1"/>
    <col min="14621" max="14848" width="9.140625" style="24"/>
    <col min="14849" max="14849" width="2.28515625" style="24" customWidth="1"/>
    <col min="14850" max="14850" width="20" style="24" customWidth="1"/>
    <col min="14851" max="14851" width="29.140625" style="24" bestFit="1" customWidth="1"/>
    <col min="14852" max="14852" width="11.85546875" style="24" bestFit="1" customWidth="1"/>
    <col min="14853" max="14853" width="4.5703125" style="24" bestFit="1" customWidth="1"/>
    <col min="14854" max="14854" width="10.140625" style="24" bestFit="1" customWidth="1"/>
    <col min="14855" max="14855" width="12.85546875" style="24" bestFit="1" customWidth="1"/>
    <col min="14856" max="14856" width="16.42578125" style="24" bestFit="1" customWidth="1"/>
    <col min="14857" max="14857" width="11" style="24" bestFit="1" customWidth="1"/>
    <col min="14858" max="14858" width="13.42578125" style="24" bestFit="1" customWidth="1"/>
    <col min="14859" max="14859" width="9.28515625" style="24" bestFit="1" customWidth="1"/>
    <col min="14860" max="14860" width="10.140625" style="24" bestFit="1" customWidth="1"/>
    <col min="14861" max="14861" width="5.42578125" style="24" bestFit="1" customWidth="1"/>
    <col min="14862" max="14862" width="12.140625" style="24" bestFit="1" customWidth="1"/>
    <col min="14863" max="14863" width="7.28515625" style="24" bestFit="1" customWidth="1"/>
    <col min="14864" max="14864" width="12.85546875" style="24" bestFit="1" customWidth="1"/>
    <col min="14865" max="14865" width="11" style="24" bestFit="1" customWidth="1"/>
    <col min="14866" max="14866" width="11.5703125" style="24" bestFit="1" customWidth="1"/>
    <col min="14867" max="14871" width="9.140625" style="24"/>
    <col min="14872" max="14872" width="9.28515625" style="24" bestFit="1" customWidth="1"/>
    <col min="14873" max="14875" width="11.140625" style="24" customWidth="1"/>
    <col min="14876" max="14876" width="13.7109375" style="24" customWidth="1"/>
    <col min="14877" max="15104" width="9.140625" style="24"/>
    <col min="15105" max="15105" width="2.28515625" style="24" customWidth="1"/>
    <col min="15106" max="15106" width="20" style="24" customWidth="1"/>
    <col min="15107" max="15107" width="29.140625" style="24" bestFit="1" customWidth="1"/>
    <col min="15108" max="15108" width="11.85546875" style="24" bestFit="1" customWidth="1"/>
    <col min="15109" max="15109" width="4.5703125" style="24" bestFit="1" customWidth="1"/>
    <col min="15110" max="15110" width="10.140625" style="24" bestFit="1" customWidth="1"/>
    <col min="15111" max="15111" width="12.85546875" style="24" bestFit="1" customWidth="1"/>
    <col min="15112" max="15112" width="16.42578125" style="24" bestFit="1" customWidth="1"/>
    <col min="15113" max="15113" width="11" style="24" bestFit="1" customWidth="1"/>
    <col min="15114" max="15114" width="13.42578125" style="24" bestFit="1" customWidth="1"/>
    <col min="15115" max="15115" width="9.28515625" style="24" bestFit="1" customWidth="1"/>
    <col min="15116" max="15116" width="10.140625" style="24" bestFit="1" customWidth="1"/>
    <col min="15117" max="15117" width="5.42578125" style="24" bestFit="1" customWidth="1"/>
    <col min="15118" max="15118" width="12.140625" style="24" bestFit="1" customWidth="1"/>
    <col min="15119" max="15119" width="7.28515625" style="24" bestFit="1" customWidth="1"/>
    <col min="15120" max="15120" width="12.85546875" style="24" bestFit="1" customWidth="1"/>
    <col min="15121" max="15121" width="11" style="24" bestFit="1" customWidth="1"/>
    <col min="15122" max="15122" width="11.5703125" style="24" bestFit="1" customWidth="1"/>
    <col min="15123" max="15127" width="9.140625" style="24"/>
    <col min="15128" max="15128" width="9.28515625" style="24" bestFit="1" customWidth="1"/>
    <col min="15129" max="15131" width="11.140625" style="24" customWidth="1"/>
    <col min="15132" max="15132" width="13.7109375" style="24" customWidth="1"/>
    <col min="15133" max="15360" width="9.140625" style="24"/>
    <col min="15361" max="15361" width="2.28515625" style="24" customWidth="1"/>
    <col min="15362" max="15362" width="20" style="24" customWidth="1"/>
    <col min="15363" max="15363" width="29.140625" style="24" bestFit="1" customWidth="1"/>
    <col min="15364" max="15364" width="11.85546875" style="24" bestFit="1" customWidth="1"/>
    <col min="15365" max="15365" width="4.5703125" style="24" bestFit="1" customWidth="1"/>
    <col min="15366" max="15366" width="10.140625" style="24" bestFit="1" customWidth="1"/>
    <col min="15367" max="15367" width="12.85546875" style="24" bestFit="1" customWidth="1"/>
    <col min="15368" max="15368" width="16.42578125" style="24" bestFit="1" customWidth="1"/>
    <col min="15369" max="15369" width="11" style="24" bestFit="1" customWidth="1"/>
    <col min="15370" max="15370" width="13.42578125" style="24" bestFit="1" customWidth="1"/>
    <col min="15371" max="15371" width="9.28515625" style="24" bestFit="1" customWidth="1"/>
    <col min="15372" max="15372" width="10.140625" style="24" bestFit="1" customWidth="1"/>
    <col min="15373" max="15373" width="5.42578125" style="24" bestFit="1" customWidth="1"/>
    <col min="15374" max="15374" width="12.140625" style="24" bestFit="1" customWidth="1"/>
    <col min="15375" max="15375" width="7.28515625" style="24" bestFit="1" customWidth="1"/>
    <col min="15376" max="15376" width="12.85546875" style="24" bestFit="1" customWidth="1"/>
    <col min="15377" max="15377" width="11" style="24" bestFit="1" customWidth="1"/>
    <col min="15378" max="15378" width="11.5703125" style="24" bestFit="1" customWidth="1"/>
    <col min="15379" max="15383" width="9.140625" style="24"/>
    <col min="15384" max="15384" width="9.28515625" style="24" bestFit="1" customWidth="1"/>
    <col min="15385" max="15387" width="11.140625" style="24" customWidth="1"/>
    <col min="15388" max="15388" width="13.7109375" style="24" customWidth="1"/>
    <col min="15389" max="15616" width="9.140625" style="24"/>
    <col min="15617" max="15617" width="2.28515625" style="24" customWidth="1"/>
    <col min="15618" max="15618" width="20" style="24" customWidth="1"/>
    <col min="15619" max="15619" width="29.140625" style="24" bestFit="1" customWidth="1"/>
    <col min="15620" max="15620" width="11.85546875" style="24" bestFit="1" customWidth="1"/>
    <col min="15621" max="15621" width="4.5703125" style="24" bestFit="1" customWidth="1"/>
    <col min="15622" max="15622" width="10.140625" style="24" bestFit="1" customWidth="1"/>
    <col min="15623" max="15623" width="12.85546875" style="24" bestFit="1" customWidth="1"/>
    <col min="15624" max="15624" width="16.42578125" style="24" bestFit="1" customWidth="1"/>
    <col min="15625" max="15625" width="11" style="24" bestFit="1" customWidth="1"/>
    <col min="15626" max="15626" width="13.42578125" style="24" bestFit="1" customWidth="1"/>
    <col min="15627" max="15627" width="9.28515625" style="24" bestFit="1" customWidth="1"/>
    <col min="15628" max="15628" width="10.140625" style="24" bestFit="1" customWidth="1"/>
    <col min="15629" max="15629" width="5.42578125" style="24" bestFit="1" customWidth="1"/>
    <col min="15630" max="15630" width="12.140625" style="24" bestFit="1" customWidth="1"/>
    <col min="15631" max="15631" width="7.28515625" style="24" bestFit="1" customWidth="1"/>
    <col min="15632" max="15632" width="12.85546875" style="24" bestFit="1" customWidth="1"/>
    <col min="15633" max="15633" width="11" style="24" bestFit="1" customWidth="1"/>
    <col min="15634" max="15634" width="11.5703125" style="24" bestFit="1" customWidth="1"/>
    <col min="15635" max="15639" width="9.140625" style="24"/>
    <col min="15640" max="15640" width="9.28515625" style="24" bestFit="1" customWidth="1"/>
    <col min="15641" max="15643" width="11.140625" style="24" customWidth="1"/>
    <col min="15644" max="15644" width="13.7109375" style="24" customWidth="1"/>
    <col min="15645" max="15872" width="9.140625" style="24"/>
    <col min="15873" max="15873" width="2.28515625" style="24" customWidth="1"/>
    <col min="15874" max="15874" width="20" style="24" customWidth="1"/>
    <col min="15875" max="15875" width="29.140625" style="24" bestFit="1" customWidth="1"/>
    <col min="15876" max="15876" width="11.85546875" style="24" bestFit="1" customWidth="1"/>
    <col min="15877" max="15877" width="4.5703125" style="24" bestFit="1" customWidth="1"/>
    <col min="15878" max="15878" width="10.140625" style="24" bestFit="1" customWidth="1"/>
    <col min="15879" max="15879" width="12.85546875" style="24" bestFit="1" customWidth="1"/>
    <col min="15880" max="15880" width="16.42578125" style="24" bestFit="1" customWidth="1"/>
    <col min="15881" max="15881" width="11" style="24" bestFit="1" customWidth="1"/>
    <col min="15882" max="15882" width="13.42578125" style="24" bestFit="1" customWidth="1"/>
    <col min="15883" max="15883" width="9.28515625" style="24" bestFit="1" customWidth="1"/>
    <col min="15884" max="15884" width="10.140625" style="24" bestFit="1" customWidth="1"/>
    <col min="15885" max="15885" width="5.42578125" style="24" bestFit="1" customWidth="1"/>
    <col min="15886" max="15886" width="12.140625" style="24" bestFit="1" customWidth="1"/>
    <col min="15887" max="15887" width="7.28515625" style="24" bestFit="1" customWidth="1"/>
    <col min="15888" max="15888" width="12.85546875" style="24" bestFit="1" customWidth="1"/>
    <col min="15889" max="15889" width="11" style="24" bestFit="1" customWidth="1"/>
    <col min="15890" max="15890" width="11.5703125" style="24" bestFit="1" customWidth="1"/>
    <col min="15891" max="15895" width="9.140625" style="24"/>
    <col min="15896" max="15896" width="9.28515625" style="24" bestFit="1" customWidth="1"/>
    <col min="15897" max="15899" width="11.140625" style="24" customWidth="1"/>
    <col min="15900" max="15900" width="13.7109375" style="24" customWidth="1"/>
    <col min="15901" max="16128" width="9.140625" style="24"/>
    <col min="16129" max="16129" width="2.28515625" style="24" customWidth="1"/>
    <col min="16130" max="16130" width="20" style="24" customWidth="1"/>
    <col min="16131" max="16131" width="29.140625" style="24" bestFit="1" customWidth="1"/>
    <col min="16132" max="16132" width="11.85546875" style="24" bestFit="1" customWidth="1"/>
    <col min="16133" max="16133" width="4.5703125" style="24" bestFit="1" customWidth="1"/>
    <col min="16134" max="16134" width="10.140625" style="24" bestFit="1" customWidth="1"/>
    <col min="16135" max="16135" width="12.85546875" style="24" bestFit="1" customWidth="1"/>
    <col min="16136" max="16136" width="16.42578125" style="24" bestFit="1" customWidth="1"/>
    <col min="16137" max="16137" width="11" style="24" bestFit="1" customWidth="1"/>
    <col min="16138" max="16138" width="13.42578125" style="24" bestFit="1" customWidth="1"/>
    <col min="16139" max="16139" width="9.28515625" style="24" bestFit="1" customWidth="1"/>
    <col min="16140" max="16140" width="10.140625" style="24" bestFit="1" customWidth="1"/>
    <col min="16141" max="16141" width="5.42578125" style="24" bestFit="1" customWidth="1"/>
    <col min="16142" max="16142" width="12.140625" style="24" bestFit="1" customWidth="1"/>
    <col min="16143" max="16143" width="7.28515625" style="24" bestFit="1" customWidth="1"/>
    <col min="16144" max="16144" width="12.85546875" style="24" bestFit="1" customWidth="1"/>
    <col min="16145" max="16145" width="11" style="24" bestFit="1" customWidth="1"/>
    <col min="16146" max="16146" width="11.5703125" style="24" bestFit="1" customWidth="1"/>
    <col min="16147" max="16151" width="9.140625" style="24"/>
    <col min="16152" max="16152" width="9.28515625" style="24" bestFit="1" customWidth="1"/>
    <col min="16153" max="16155" width="11.140625" style="24" customWidth="1"/>
    <col min="16156" max="16156" width="13.7109375" style="24" customWidth="1"/>
    <col min="16157" max="16384" width="9.140625" style="24"/>
  </cols>
  <sheetData>
    <row r="2" spans="1:28" ht="63" customHeight="1">
      <c r="B2" s="23" t="s">
        <v>194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28" ht="13.5" customHeight="1">
      <c r="B3" s="25" t="s">
        <v>195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spans="1:28">
      <c r="D4" s="26"/>
      <c r="T4" s="27"/>
      <c r="U4" s="27"/>
      <c r="V4" s="27"/>
      <c r="W4" s="27"/>
      <c r="X4" s="27"/>
      <c r="Y4" s="27"/>
      <c r="Z4" s="27"/>
      <c r="AA4" s="27"/>
      <c r="AB4" s="27"/>
    </row>
    <row r="5" spans="1:28" ht="18.75" customHeight="1">
      <c r="A5" s="40" t="s">
        <v>1</v>
      </c>
      <c r="B5" s="28" t="s">
        <v>196</v>
      </c>
      <c r="C5" s="28" t="s">
        <v>197</v>
      </c>
      <c r="D5" s="28" t="s">
        <v>198</v>
      </c>
      <c r="E5" s="28" t="s">
        <v>5</v>
      </c>
      <c r="F5" s="28" t="s">
        <v>199</v>
      </c>
      <c r="G5" s="28" t="s">
        <v>200</v>
      </c>
      <c r="H5" s="28" t="s">
        <v>201</v>
      </c>
      <c r="I5" s="28" t="s">
        <v>202</v>
      </c>
      <c r="J5" s="28" t="s">
        <v>203</v>
      </c>
      <c r="K5" s="28" t="s">
        <v>204</v>
      </c>
      <c r="L5" s="28" t="s">
        <v>205</v>
      </c>
      <c r="M5" s="28" t="s">
        <v>206</v>
      </c>
      <c r="N5" s="29" t="s">
        <v>207</v>
      </c>
      <c r="O5" s="28" t="s">
        <v>208</v>
      </c>
      <c r="P5" s="28" t="s">
        <v>209</v>
      </c>
      <c r="Q5" s="28" t="s">
        <v>210</v>
      </c>
      <c r="R5" s="29" t="s">
        <v>211</v>
      </c>
      <c r="T5" s="30" t="s">
        <v>212</v>
      </c>
      <c r="U5" s="47" t="s">
        <v>213</v>
      </c>
      <c r="V5" s="47"/>
      <c r="W5" s="47"/>
      <c r="X5" s="31" t="s">
        <v>17</v>
      </c>
      <c r="Y5" s="31" t="s">
        <v>214</v>
      </c>
      <c r="Z5" s="31" t="s">
        <v>17</v>
      </c>
      <c r="AA5" s="31" t="s">
        <v>214</v>
      </c>
      <c r="AB5" s="30" t="s">
        <v>215</v>
      </c>
    </row>
    <row r="6" spans="1:28" ht="18.75">
      <c r="A6" s="39" t="s">
        <v>233</v>
      </c>
      <c r="B6" s="32" t="s">
        <v>216</v>
      </c>
      <c r="C6" s="33" t="s">
        <v>217</v>
      </c>
      <c r="D6" s="33">
        <v>1</v>
      </c>
      <c r="E6" s="33" t="s">
        <v>27</v>
      </c>
      <c r="F6" s="33" t="s">
        <v>218</v>
      </c>
      <c r="G6" s="33" t="s">
        <v>219</v>
      </c>
      <c r="H6" s="33" t="s">
        <v>218</v>
      </c>
      <c r="I6" s="33" t="s">
        <v>218</v>
      </c>
      <c r="J6" s="34">
        <v>46238</v>
      </c>
      <c r="K6" s="33"/>
      <c r="L6" s="33"/>
      <c r="M6" s="33" t="s">
        <v>13</v>
      </c>
      <c r="N6" s="33"/>
      <c r="O6" s="33" t="s">
        <v>220</v>
      </c>
      <c r="P6" s="33"/>
      <c r="Q6" s="33"/>
      <c r="R6" s="33">
        <v>0.502</v>
      </c>
      <c r="S6" s="33"/>
      <c r="T6" s="33">
        <v>1</v>
      </c>
      <c r="U6" s="33"/>
      <c r="V6" s="33" t="s">
        <v>221</v>
      </c>
      <c r="W6" s="33"/>
      <c r="X6" s="33">
        <v>0.16300000000000001</v>
      </c>
      <c r="Y6" s="33">
        <v>0.502</v>
      </c>
      <c r="Z6" s="33">
        <v>0.16300000000000001</v>
      </c>
      <c r="AA6" s="33">
        <v>0.502</v>
      </c>
      <c r="AB6" s="33">
        <v>1</v>
      </c>
    </row>
    <row r="7" spans="1:28" ht="18.75">
      <c r="B7" s="35"/>
      <c r="C7" s="33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ht="18.75">
      <c r="B8" s="32"/>
      <c r="C8" s="33"/>
      <c r="D8" s="33"/>
      <c r="E8" s="33"/>
      <c r="F8" s="33"/>
      <c r="G8" s="33"/>
      <c r="H8" s="33"/>
      <c r="I8" s="33"/>
      <c r="J8" s="34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8.75">
      <c r="B9" s="35"/>
      <c r="C9" s="33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18.75">
      <c r="B10" s="35"/>
      <c r="C10" s="33"/>
      <c r="D10" s="33"/>
      <c r="E10" s="33"/>
      <c r="F10" s="33"/>
      <c r="G10" s="33"/>
      <c r="H10" s="33"/>
      <c r="I10" s="33"/>
      <c r="J10" s="34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18.75">
      <c r="B11" s="32"/>
      <c r="C11" s="33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18.75">
      <c r="B12" s="35"/>
      <c r="C12" s="33"/>
      <c r="D12" s="33"/>
      <c r="E12" s="33"/>
      <c r="F12" s="33"/>
      <c r="G12" s="33"/>
      <c r="H12" s="33"/>
      <c r="I12" s="33"/>
      <c r="J12" s="34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18.75">
      <c r="B13" s="32"/>
      <c r="C13" s="33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18.75">
      <c r="B14" s="35"/>
      <c r="C14" s="33"/>
      <c r="D14" s="33"/>
      <c r="E14" s="33"/>
      <c r="F14" s="33"/>
      <c r="G14" s="33"/>
      <c r="H14" s="33"/>
      <c r="I14" s="33"/>
      <c r="J14" s="34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18.75">
      <c r="B15" s="33"/>
      <c r="C15" s="33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18.75">
      <c r="B16" s="33"/>
      <c r="C16" s="33"/>
      <c r="D16" s="33"/>
      <c r="E16" s="33"/>
      <c r="F16" s="33"/>
      <c r="G16" s="33"/>
      <c r="H16" s="33"/>
      <c r="I16" s="33"/>
      <c r="J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2:28" ht="18.75">
      <c r="B17" s="33"/>
      <c r="C17" s="33"/>
      <c r="D17" s="33"/>
      <c r="E17" s="33"/>
      <c r="F17" s="33"/>
      <c r="G17" s="33"/>
      <c r="H17" s="33"/>
      <c r="I17" s="33"/>
      <c r="J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2:28" ht="18.75">
      <c r="B18" s="33"/>
      <c r="C18" s="33"/>
      <c r="D18" s="33"/>
      <c r="E18" s="33"/>
      <c r="F18" s="33"/>
      <c r="G18" s="33"/>
      <c r="H18" s="33"/>
      <c r="I18" s="33"/>
      <c r="J18" s="34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2:28" ht="18.75">
      <c r="B19" s="33"/>
      <c r="C19" s="33"/>
      <c r="D19" s="33"/>
      <c r="E19" s="33"/>
      <c r="F19" s="33"/>
      <c r="G19" s="33"/>
      <c r="H19" s="33"/>
      <c r="I19" s="33"/>
      <c r="J19" s="34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spans="2:28" ht="18.75">
      <c r="B20" s="33"/>
      <c r="C20" s="33"/>
      <c r="D20" s="33"/>
      <c r="E20" s="33"/>
      <c r="F20" s="33"/>
      <c r="G20" s="33"/>
      <c r="H20" s="33"/>
      <c r="I20" s="33"/>
      <c r="J20" s="34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2:28" ht="18.75">
      <c r="B21" s="33"/>
      <c r="C21" s="33"/>
      <c r="D21" s="33"/>
      <c r="E21" s="33"/>
      <c r="F21" s="33"/>
      <c r="G21" s="33"/>
      <c r="H21" s="33"/>
      <c r="I21" s="33"/>
      <c r="J21" s="34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spans="2:28" ht="18.75">
      <c r="B22" s="33"/>
      <c r="C22" s="33"/>
      <c r="D22" s="33"/>
      <c r="E22" s="33"/>
      <c r="F22" s="33"/>
      <c r="G22" s="33"/>
      <c r="H22" s="33"/>
      <c r="I22" s="33"/>
      <c r="J22" s="34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2:28" ht="18.75">
      <c r="B23" s="33"/>
      <c r="C23" s="33"/>
      <c r="D23" s="33"/>
      <c r="E23" s="33"/>
      <c r="F23" s="33"/>
      <c r="G23" s="33"/>
      <c r="H23" s="33"/>
      <c r="I23" s="33"/>
      <c r="J23" s="34"/>
      <c r="K23" s="36"/>
      <c r="L23" s="36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2:28" ht="18.75">
      <c r="B24" s="33"/>
      <c r="C24" s="37"/>
      <c r="D24" s="33"/>
      <c r="E24" s="33"/>
      <c r="F24" s="33"/>
      <c r="G24" s="33"/>
      <c r="H24" s="33"/>
      <c r="I24" s="33"/>
      <c r="J24" s="34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2:28" ht="18.75">
      <c r="B25" s="36"/>
      <c r="C25" s="38"/>
      <c r="D25" s="33"/>
      <c r="E25" s="33"/>
      <c r="F25" s="33"/>
      <c r="G25" s="33"/>
      <c r="H25" s="33"/>
      <c r="I25" s="33"/>
      <c r="J25" s="34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2:28" ht="18.75">
      <c r="B26" s="36"/>
      <c r="C26" s="37"/>
      <c r="D26" s="33"/>
      <c r="E26" s="33"/>
      <c r="F26" s="33"/>
      <c r="G26" s="33"/>
      <c r="H26" s="33"/>
      <c r="I26" s="33"/>
      <c r="J26" s="34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2:28" ht="18.75">
      <c r="B27" s="36"/>
      <c r="C27" s="37"/>
      <c r="D27" s="33"/>
      <c r="E27" s="33"/>
      <c r="F27" s="33"/>
      <c r="G27" s="33"/>
      <c r="H27" s="33"/>
      <c r="I27" s="33"/>
      <c r="J27" s="34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spans="2:28" ht="18.75">
      <c r="B28" s="36"/>
      <c r="C28" s="37"/>
      <c r="D28" s="33"/>
      <c r="E28" s="33"/>
      <c r="F28" s="33"/>
      <c r="G28" s="33"/>
      <c r="H28" s="33"/>
      <c r="I28" s="33"/>
      <c r="J28" s="34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2:28" ht="18.75">
      <c r="B29" s="36"/>
      <c r="C29" s="36"/>
      <c r="D29" s="36"/>
      <c r="E29" s="36"/>
      <c r="F29" s="36"/>
      <c r="G29" s="36"/>
      <c r="H29" s="36"/>
      <c r="I29" s="36"/>
      <c r="J29" s="34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2:28" ht="18.75">
      <c r="J30" s="34"/>
    </row>
    <row r="31" spans="2:28" ht="18.75">
      <c r="J31" s="34"/>
    </row>
  </sheetData>
  <mergeCells count="2">
    <mergeCell ref="C2:R3"/>
    <mergeCell ref="U5:W5"/>
  </mergeCells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727E-FFD5-4400-BE49-49A5C10615AF}">
  <dimension ref="B2:AC31"/>
  <sheetViews>
    <sheetView zoomScale="90" zoomScaleNormal="90" workbookViewId="0">
      <selection activeCell="B5" sqref="B5:B6"/>
    </sheetView>
  </sheetViews>
  <sheetFormatPr defaultColWidth="9.140625" defaultRowHeight="10.5"/>
  <cols>
    <col min="1" max="1" width="2.28515625" style="24" customWidth="1"/>
    <col min="2" max="2" width="13.5703125" style="24" customWidth="1"/>
    <col min="3" max="3" width="20" style="24" customWidth="1"/>
    <col min="4" max="4" width="29.140625" style="24" bestFit="1" customWidth="1"/>
    <col min="5" max="5" width="11.85546875" style="24" bestFit="1" customWidth="1"/>
    <col min="6" max="6" width="4.5703125" style="24" bestFit="1" customWidth="1"/>
    <col min="7" max="7" width="10.140625" style="24" bestFit="1" customWidth="1"/>
    <col min="8" max="8" width="12.85546875" style="24" bestFit="1" customWidth="1"/>
    <col min="9" max="9" width="16.42578125" style="24" bestFit="1" customWidth="1"/>
    <col min="10" max="10" width="11" style="24" bestFit="1" customWidth="1"/>
    <col min="11" max="11" width="13.42578125" style="24" bestFit="1" customWidth="1"/>
    <col min="12" max="12" width="9.28515625" style="24" bestFit="1" customWidth="1"/>
    <col min="13" max="13" width="10.140625" style="24" bestFit="1" customWidth="1"/>
    <col min="14" max="14" width="5.42578125" style="24" bestFit="1" customWidth="1"/>
    <col min="15" max="15" width="12.140625" style="24" bestFit="1" customWidth="1"/>
    <col min="16" max="16" width="7.28515625" style="24" bestFit="1" customWidth="1"/>
    <col min="17" max="17" width="12.85546875" style="24" bestFit="1" customWidth="1"/>
    <col min="18" max="18" width="11" style="24" bestFit="1" customWidth="1"/>
    <col min="19" max="19" width="11.5703125" style="24" bestFit="1" customWidth="1"/>
    <col min="20" max="24" width="9.140625" style="24"/>
    <col min="25" max="25" width="9.28515625" style="24" bestFit="1" customWidth="1"/>
    <col min="26" max="28" width="11.140625" style="24" customWidth="1"/>
    <col min="29" max="29" width="13.7109375" style="24" customWidth="1"/>
    <col min="30" max="257" width="9.140625" style="24"/>
    <col min="258" max="258" width="2.28515625" style="24" customWidth="1"/>
    <col min="259" max="259" width="20" style="24" customWidth="1"/>
    <col min="260" max="260" width="29.140625" style="24" bestFit="1" customWidth="1"/>
    <col min="261" max="261" width="11.85546875" style="24" bestFit="1" customWidth="1"/>
    <col min="262" max="262" width="4.5703125" style="24" bestFit="1" customWidth="1"/>
    <col min="263" max="263" width="10.140625" style="24" bestFit="1" customWidth="1"/>
    <col min="264" max="264" width="12.85546875" style="24" bestFit="1" customWidth="1"/>
    <col min="265" max="265" width="16.42578125" style="24" bestFit="1" customWidth="1"/>
    <col min="266" max="266" width="11" style="24" bestFit="1" customWidth="1"/>
    <col min="267" max="267" width="13.42578125" style="24" bestFit="1" customWidth="1"/>
    <col min="268" max="268" width="9.28515625" style="24" bestFit="1" customWidth="1"/>
    <col min="269" max="269" width="10.140625" style="24" bestFit="1" customWidth="1"/>
    <col min="270" max="270" width="5.42578125" style="24" bestFit="1" customWidth="1"/>
    <col min="271" max="271" width="12.140625" style="24" bestFit="1" customWidth="1"/>
    <col min="272" max="272" width="7.28515625" style="24" bestFit="1" customWidth="1"/>
    <col min="273" max="273" width="12.85546875" style="24" bestFit="1" customWidth="1"/>
    <col min="274" max="274" width="11" style="24" bestFit="1" customWidth="1"/>
    <col min="275" max="275" width="11.5703125" style="24" bestFit="1" customWidth="1"/>
    <col min="276" max="280" width="9.140625" style="24"/>
    <col min="281" max="281" width="9.28515625" style="24" bestFit="1" customWidth="1"/>
    <col min="282" max="284" width="11.140625" style="24" customWidth="1"/>
    <col min="285" max="285" width="13.7109375" style="24" customWidth="1"/>
    <col min="286" max="513" width="9.140625" style="24"/>
    <col min="514" max="514" width="2.28515625" style="24" customWidth="1"/>
    <col min="515" max="515" width="20" style="24" customWidth="1"/>
    <col min="516" max="516" width="29.140625" style="24" bestFit="1" customWidth="1"/>
    <col min="517" max="517" width="11.85546875" style="24" bestFit="1" customWidth="1"/>
    <col min="518" max="518" width="4.5703125" style="24" bestFit="1" customWidth="1"/>
    <col min="519" max="519" width="10.140625" style="24" bestFit="1" customWidth="1"/>
    <col min="520" max="520" width="12.85546875" style="24" bestFit="1" customWidth="1"/>
    <col min="521" max="521" width="16.42578125" style="24" bestFit="1" customWidth="1"/>
    <col min="522" max="522" width="11" style="24" bestFit="1" customWidth="1"/>
    <col min="523" max="523" width="13.42578125" style="24" bestFit="1" customWidth="1"/>
    <col min="524" max="524" width="9.28515625" style="24" bestFit="1" customWidth="1"/>
    <col min="525" max="525" width="10.140625" style="24" bestFit="1" customWidth="1"/>
    <col min="526" max="526" width="5.42578125" style="24" bestFit="1" customWidth="1"/>
    <col min="527" max="527" width="12.140625" style="24" bestFit="1" customWidth="1"/>
    <col min="528" max="528" width="7.28515625" style="24" bestFit="1" customWidth="1"/>
    <col min="529" max="529" width="12.85546875" style="24" bestFit="1" customWidth="1"/>
    <col min="530" max="530" width="11" style="24" bestFit="1" customWidth="1"/>
    <col min="531" max="531" width="11.5703125" style="24" bestFit="1" customWidth="1"/>
    <col min="532" max="536" width="9.140625" style="24"/>
    <col min="537" max="537" width="9.28515625" style="24" bestFit="1" customWidth="1"/>
    <col min="538" max="540" width="11.140625" style="24" customWidth="1"/>
    <col min="541" max="541" width="13.7109375" style="24" customWidth="1"/>
    <col min="542" max="769" width="9.140625" style="24"/>
    <col min="770" max="770" width="2.28515625" style="24" customWidth="1"/>
    <col min="771" max="771" width="20" style="24" customWidth="1"/>
    <col min="772" max="772" width="29.140625" style="24" bestFit="1" customWidth="1"/>
    <col min="773" max="773" width="11.85546875" style="24" bestFit="1" customWidth="1"/>
    <col min="774" max="774" width="4.5703125" style="24" bestFit="1" customWidth="1"/>
    <col min="775" max="775" width="10.140625" style="24" bestFit="1" customWidth="1"/>
    <col min="776" max="776" width="12.85546875" style="24" bestFit="1" customWidth="1"/>
    <col min="777" max="777" width="16.42578125" style="24" bestFit="1" customWidth="1"/>
    <col min="778" max="778" width="11" style="24" bestFit="1" customWidth="1"/>
    <col min="779" max="779" width="13.42578125" style="24" bestFit="1" customWidth="1"/>
    <col min="780" max="780" width="9.28515625" style="24" bestFit="1" customWidth="1"/>
    <col min="781" max="781" width="10.140625" style="24" bestFit="1" customWidth="1"/>
    <col min="782" max="782" width="5.42578125" style="24" bestFit="1" customWidth="1"/>
    <col min="783" max="783" width="12.140625" style="24" bestFit="1" customWidth="1"/>
    <col min="784" max="784" width="7.28515625" style="24" bestFit="1" customWidth="1"/>
    <col min="785" max="785" width="12.85546875" style="24" bestFit="1" customWidth="1"/>
    <col min="786" max="786" width="11" style="24" bestFit="1" customWidth="1"/>
    <col min="787" max="787" width="11.5703125" style="24" bestFit="1" customWidth="1"/>
    <col min="788" max="792" width="9.140625" style="24"/>
    <col min="793" max="793" width="9.28515625" style="24" bestFit="1" customWidth="1"/>
    <col min="794" max="796" width="11.140625" style="24" customWidth="1"/>
    <col min="797" max="797" width="13.7109375" style="24" customWidth="1"/>
    <col min="798" max="1025" width="9.140625" style="24"/>
    <col min="1026" max="1026" width="2.28515625" style="24" customWidth="1"/>
    <col min="1027" max="1027" width="20" style="24" customWidth="1"/>
    <col min="1028" max="1028" width="29.140625" style="24" bestFit="1" customWidth="1"/>
    <col min="1029" max="1029" width="11.85546875" style="24" bestFit="1" customWidth="1"/>
    <col min="1030" max="1030" width="4.5703125" style="24" bestFit="1" customWidth="1"/>
    <col min="1031" max="1031" width="10.140625" style="24" bestFit="1" customWidth="1"/>
    <col min="1032" max="1032" width="12.85546875" style="24" bestFit="1" customWidth="1"/>
    <col min="1033" max="1033" width="16.42578125" style="24" bestFit="1" customWidth="1"/>
    <col min="1034" max="1034" width="11" style="24" bestFit="1" customWidth="1"/>
    <col min="1035" max="1035" width="13.42578125" style="24" bestFit="1" customWidth="1"/>
    <col min="1036" max="1036" width="9.28515625" style="24" bestFit="1" customWidth="1"/>
    <col min="1037" max="1037" width="10.140625" style="24" bestFit="1" customWidth="1"/>
    <col min="1038" max="1038" width="5.42578125" style="24" bestFit="1" customWidth="1"/>
    <col min="1039" max="1039" width="12.140625" style="24" bestFit="1" customWidth="1"/>
    <col min="1040" max="1040" width="7.28515625" style="24" bestFit="1" customWidth="1"/>
    <col min="1041" max="1041" width="12.85546875" style="24" bestFit="1" customWidth="1"/>
    <col min="1042" max="1042" width="11" style="24" bestFit="1" customWidth="1"/>
    <col min="1043" max="1043" width="11.5703125" style="24" bestFit="1" customWidth="1"/>
    <col min="1044" max="1048" width="9.140625" style="24"/>
    <col min="1049" max="1049" width="9.28515625" style="24" bestFit="1" customWidth="1"/>
    <col min="1050" max="1052" width="11.140625" style="24" customWidth="1"/>
    <col min="1053" max="1053" width="13.7109375" style="24" customWidth="1"/>
    <col min="1054" max="1281" width="9.140625" style="24"/>
    <col min="1282" max="1282" width="2.28515625" style="24" customWidth="1"/>
    <col min="1283" max="1283" width="20" style="24" customWidth="1"/>
    <col min="1284" max="1284" width="29.140625" style="24" bestFit="1" customWidth="1"/>
    <col min="1285" max="1285" width="11.85546875" style="24" bestFit="1" customWidth="1"/>
    <col min="1286" max="1286" width="4.5703125" style="24" bestFit="1" customWidth="1"/>
    <col min="1287" max="1287" width="10.140625" style="24" bestFit="1" customWidth="1"/>
    <col min="1288" max="1288" width="12.85546875" style="24" bestFit="1" customWidth="1"/>
    <col min="1289" max="1289" width="16.42578125" style="24" bestFit="1" customWidth="1"/>
    <col min="1290" max="1290" width="11" style="24" bestFit="1" customWidth="1"/>
    <col min="1291" max="1291" width="13.42578125" style="24" bestFit="1" customWidth="1"/>
    <col min="1292" max="1292" width="9.28515625" style="24" bestFit="1" customWidth="1"/>
    <col min="1293" max="1293" width="10.140625" style="24" bestFit="1" customWidth="1"/>
    <col min="1294" max="1294" width="5.42578125" style="24" bestFit="1" customWidth="1"/>
    <col min="1295" max="1295" width="12.140625" style="24" bestFit="1" customWidth="1"/>
    <col min="1296" max="1296" width="7.28515625" style="24" bestFit="1" customWidth="1"/>
    <col min="1297" max="1297" width="12.85546875" style="24" bestFit="1" customWidth="1"/>
    <col min="1298" max="1298" width="11" style="24" bestFit="1" customWidth="1"/>
    <col min="1299" max="1299" width="11.5703125" style="24" bestFit="1" customWidth="1"/>
    <col min="1300" max="1304" width="9.140625" style="24"/>
    <col min="1305" max="1305" width="9.28515625" style="24" bestFit="1" customWidth="1"/>
    <col min="1306" max="1308" width="11.140625" style="24" customWidth="1"/>
    <col min="1309" max="1309" width="13.7109375" style="24" customWidth="1"/>
    <col min="1310" max="1537" width="9.140625" style="24"/>
    <col min="1538" max="1538" width="2.28515625" style="24" customWidth="1"/>
    <col min="1539" max="1539" width="20" style="24" customWidth="1"/>
    <col min="1540" max="1540" width="29.140625" style="24" bestFit="1" customWidth="1"/>
    <col min="1541" max="1541" width="11.85546875" style="24" bestFit="1" customWidth="1"/>
    <col min="1542" max="1542" width="4.5703125" style="24" bestFit="1" customWidth="1"/>
    <col min="1543" max="1543" width="10.140625" style="24" bestFit="1" customWidth="1"/>
    <col min="1544" max="1544" width="12.85546875" style="24" bestFit="1" customWidth="1"/>
    <col min="1545" max="1545" width="16.42578125" style="24" bestFit="1" customWidth="1"/>
    <col min="1546" max="1546" width="11" style="24" bestFit="1" customWidth="1"/>
    <col min="1547" max="1547" width="13.42578125" style="24" bestFit="1" customWidth="1"/>
    <col min="1548" max="1548" width="9.28515625" style="24" bestFit="1" customWidth="1"/>
    <col min="1549" max="1549" width="10.140625" style="24" bestFit="1" customWidth="1"/>
    <col min="1550" max="1550" width="5.42578125" style="24" bestFit="1" customWidth="1"/>
    <col min="1551" max="1551" width="12.140625" style="24" bestFit="1" customWidth="1"/>
    <col min="1552" max="1552" width="7.28515625" style="24" bestFit="1" customWidth="1"/>
    <col min="1553" max="1553" width="12.85546875" style="24" bestFit="1" customWidth="1"/>
    <col min="1554" max="1554" width="11" style="24" bestFit="1" customWidth="1"/>
    <col min="1555" max="1555" width="11.5703125" style="24" bestFit="1" customWidth="1"/>
    <col min="1556" max="1560" width="9.140625" style="24"/>
    <col min="1561" max="1561" width="9.28515625" style="24" bestFit="1" customWidth="1"/>
    <col min="1562" max="1564" width="11.140625" style="24" customWidth="1"/>
    <col min="1565" max="1565" width="13.7109375" style="24" customWidth="1"/>
    <col min="1566" max="1793" width="9.140625" style="24"/>
    <col min="1794" max="1794" width="2.28515625" style="24" customWidth="1"/>
    <col min="1795" max="1795" width="20" style="24" customWidth="1"/>
    <col min="1796" max="1796" width="29.140625" style="24" bestFit="1" customWidth="1"/>
    <col min="1797" max="1797" width="11.85546875" style="24" bestFit="1" customWidth="1"/>
    <col min="1798" max="1798" width="4.5703125" style="24" bestFit="1" customWidth="1"/>
    <col min="1799" max="1799" width="10.140625" style="24" bestFit="1" customWidth="1"/>
    <col min="1800" max="1800" width="12.85546875" style="24" bestFit="1" customWidth="1"/>
    <col min="1801" max="1801" width="16.42578125" style="24" bestFit="1" customWidth="1"/>
    <col min="1802" max="1802" width="11" style="24" bestFit="1" customWidth="1"/>
    <col min="1803" max="1803" width="13.42578125" style="24" bestFit="1" customWidth="1"/>
    <col min="1804" max="1804" width="9.28515625" style="24" bestFit="1" customWidth="1"/>
    <col min="1805" max="1805" width="10.140625" style="24" bestFit="1" customWidth="1"/>
    <col min="1806" max="1806" width="5.42578125" style="24" bestFit="1" customWidth="1"/>
    <col min="1807" max="1807" width="12.140625" style="24" bestFit="1" customWidth="1"/>
    <col min="1808" max="1808" width="7.28515625" style="24" bestFit="1" customWidth="1"/>
    <col min="1809" max="1809" width="12.85546875" style="24" bestFit="1" customWidth="1"/>
    <col min="1810" max="1810" width="11" style="24" bestFit="1" customWidth="1"/>
    <col min="1811" max="1811" width="11.5703125" style="24" bestFit="1" customWidth="1"/>
    <col min="1812" max="1816" width="9.140625" style="24"/>
    <col min="1817" max="1817" width="9.28515625" style="24" bestFit="1" customWidth="1"/>
    <col min="1818" max="1820" width="11.140625" style="24" customWidth="1"/>
    <col min="1821" max="1821" width="13.7109375" style="24" customWidth="1"/>
    <col min="1822" max="2049" width="9.140625" style="24"/>
    <col min="2050" max="2050" width="2.28515625" style="24" customWidth="1"/>
    <col min="2051" max="2051" width="20" style="24" customWidth="1"/>
    <col min="2052" max="2052" width="29.140625" style="24" bestFit="1" customWidth="1"/>
    <col min="2053" max="2053" width="11.85546875" style="24" bestFit="1" customWidth="1"/>
    <col min="2054" max="2054" width="4.5703125" style="24" bestFit="1" customWidth="1"/>
    <col min="2055" max="2055" width="10.140625" style="24" bestFit="1" customWidth="1"/>
    <col min="2056" max="2056" width="12.85546875" style="24" bestFit="1" customWidth="1"/>
    <col min="2057" max="2057" width="16.42578125" style="24" bestFit="1" customWidth="1"/>
    <col min="2058" max="2058" width="11" style="24" bestFit="1" customWidth="1"/>
    <col min="2059" max="2059" width="13.42578125" style="24" bestFit="1" customWidth="1"/>
    <col min="2060" max="2060" width="9.28515625" style="24" bestFit="1" customWidth="1"/>
    <col min="2061" max="2061" width="10.140625" style="24" bestFit="1" customWidth="1"/>
    <col min="2062" max="2062" width="5.42578125" style="24" bestFit="1" customWidth="1"/>
    <col min="2063" max="2063" width="12.140625" style="24" bestFit="1" customWidth="1"/>
    <col min="2064" max="2064" width="7.28515625" style="24" bestFit="1" customWidth="1"/>
    <col min="2065" max="2065" width="12.85546875" style="24" bestFit="1" customWidth="1"/>
    <col min="2066" max="2066" width="11" style="24" bestFit="1" customWidth="1"/>
    <col min="2067" max="2067" width="11.5703125" style="24" bestFit="1" customWidth="1"/>
    <col min="2068" max="2072" width="9.140625" style="24"/>
    <col min="2073" max="2073" width="9.28515625" style="24" bestFit="1" customWidth="1"/>
    <col min="2074" max="2076" width="11.140625" style="24" customWidth="1"/>
    <col min="2077" max="2077" width="13.7109375" style="24" customWidth="1"/>
    <col min="2078" max="2305" width="9.140625" style="24"/>
    <col min="2306" max="2306" width="2.28515625" style="24" customWidth="1"/>
    <col min="2307" max="2307" width="20" style="24" customWidth="1"/>
    <col min="2308" max="2308" width="29.140625" style="24" bestFit="1" customWidth="1"/>
    <col min="2309" max="2309" width="11.85546875" style="24" bestFit="1" customWidth="1"/>
    <col min="2310" max="2310" width="4.5703125" style="24" bestFit="1" customWidth="1"/>
    <col min="2311" max="2311" width="10.140625" style="24" bestFit="1" customWidth="1"/>
    <col min="2312" max="2312" width="12.85546875" style="24" bestFit="1" customWidth="1"/>
    <col min="2313" max="2313" width="16.42578125" style="24" bestFit="1" customWidth="1"/>
    <col min="2314" max="2314" width="11" style="24" bestFit="1" customWidth="1"/>
    <col min="2315" max="2315" width="13.42578125" style="24" bestFit="1" customWidth="1"/>
    <col min="2316" max="2316" width="9.28515625" style="24" bestFit="1" customWidth="1"/>
    <col min="2317" max="2317" width="10.140625" style="24" bestFit="1" customWidth="1"/>
    <col min="2318" max="2318" width="5.42578125" style="24" bestFit="1" customWidth="1"/>
    <col min="2319" max="2319" width="12.140625" style="24" bestFit="1" customWidth="1"/>
    <col min="2320" max="2320" width="7.28515625" style="24" bestFit="1" customWidth="1"/>
    <col min="2321" max="2321" width="12.85546875" style="24" bestFit="1" customWidth="1"/>
    <col min="2322" max="2322" width="11" style="24" bestFit="1" customWidth="1"/>
    <col min="2323" max="2323" width="11.5703125" style="24" bestFit="1" customWidth="1"/>
    <col min="2324" max="2328" width="9.140625" style="24"/>
    <col min="2329" max="2329" width="9.28515625" style="24" bestFit="1" customWidth="1"/>
    <col min="2330" max="2332" width="11.140625" style="24" customWidth="1"/>
    <col min="2333" max="2333" width="13.7109375" style="24" customWidth="1"/>
    <col min="2334" max="2561" width="9.140625" style="24"/>
    <col min="2562" max="2562" width="2.28515625" style="24" customWidth="1"/>
    <col min="2563" max="2563" width="20" style="24" customWidth="1"/>
    <col min="2564" max="2564" width="29.140625" style="24" bestFit="1" customWidth="1"/>
    <col min="2565" max="2565" width="11.85546875" style="24" bestFit="1" customWidth="1"/>
    <col min="2566" max="2566" width="4.5703125" style="24" bestFit="1" customWidth="1"/>
    <col min="2567" max="2567" width="10.140625" style="24" bestFit="1" customWidth="1"/>
    <col min="2568" max="2568" width="12.85546875" style="24" bestFit="1" customWidth="1"/>
    <col min="2569" max="2569" width="16.42578125" style="24" bestFit="1" customWidth="1"/>
    <col min="2570" max="2570" width="11" style="24" bestFit="1" customWidth="1"/>
    <col min="2571" max="2571" width="13.42578125" style="24" bestFit="1" customWidth="1"/>
    <col min="2572" max="2572" width="9.28515625" style="24" bestFit="1" customWidth="1"/>
    <col min="2573" max="2573" width="10.140625" style="24" bestFit="1" customWidth="1"/>
    <col min="2574" max="2574" width="5.42578125" style="24" bestFit="1" customWidth="1"/>
    <col min="2575" max="2575" width="12.140625" style="24" bestFit="1" customWidth="1"/>
    <col min="2576" max="2576" width="7.28515625" style="24" bestFit="1" customWidth="1"/>
    <col min="2577" max="2577" width="12.85546875" style="24" bestFit="1" customWidth="1"/>
    <col min="2578" max="2578" width="11" style="24" bestFit="1" customWidth="1"/>
    <col min="2579" max="2579" width="11.5703125" style="24" bestFit="1" customWidth="1"/>
    <col min="2580" max="2584" width="9.140625" style="24"/>
    <col min="2585" max="2585" width="9.28515625" style="24" bestFit="1" customWidth="1"/>
    <col min="2586" max="2588" width="11.140625" style="24" customWidth="1"/>
    <col min="2589" max="2589" width="13.7109375" style="24" customWidth="1"/>
    <col min="2590" max="2817" width="9.140625" style="24"/>
    <col min="2818" max="2818" width="2.28515625" style="24" customWidth="1"/>
    <col min="2819" max="2819" width="20" style="24" customWidth="1"/>
    <col min="2820" max="2820" width="29.140625" style="24" bestFit="1" customWidth="1"/>
    <col min="2821" max="2821" width="11.85546875" style="24" bestFit="1" customWidth="1"/>
    <col min="2822" max="2822" width="4.5703125" style="24" bestFit="1" customWidth="1"/>
    <col min="2823" max="2823" width="10.140625" style="24" bestFit="1" customWidth="1"/>
    <col min="2824" max="2824" width="12.85546875" style="24" bestFit="1" customWidth="1"/>
    <col min="2825" max="2825" width="16.42578125" style="24" bestFit="1" customWidth="1"/>
    <col min="2826" max="2826" width="11" style="24" bestFit="1" customWidth="1"/>
    <col min="2827" max="2827" width="13.42578125" style="24" bestFit="1" customWidth="1"/>
    <col min="2828" max="2828" width="9.28515625" style="24" bestFit="1" customWidth="1"/>
    <col min="2829" max="2829" width="10.140625" style="24" bestFit="1" customWidth="1"/>
    <col min="2830" max="2830" width="5.42578125" style="24" bestFit="1" customWidth="1"/>
    <col min="2831" max="2831" width="12.140625" style="24" bestFit="1" customWidth="1"/>
    <col min="2832" max="2832" width="7.28515625" style="24" bestFit="1" customWidth="1"/>
    <col min="2833" max="2833" width="12.85546875" style="24" bestFit="1" customWidth="1"/>
    <col min="2834" max="2834" width="11" style="24" bestFit="1" customWidth="1"/>
    <col min="2835" max="2835" width="11.5703125" style="24" bestFit="1" customWidth="1"/>
    <col min="2836" max="2840" width="9.140625" style="24"/>
    <col min="2841" max="2841" width="9.28515625" style="24" bestFit="1" customWidth="1"/>
    <col min="2842" max="2844" width="11.140625" style="24" customWidth="1"/>
    <col min="2845" max="2845" width="13.7109375" style="24" customWidth="1"/>
    <col min="2846" max="3073" width="9.140625" style="24"/>
    <col min="3074" max="3074" width="2.28515625" style="24" customWidth="1"/>
    <col min="3075" max="3075" width="20" style="24" customWidth="1"/>
    <col min="3076" max="3076" width="29.140625" style="24" bestFit="1" customWidth="1"/>
    <col min="3077" max="3077" width="11.85546875" style="24" bestFit="1" customWidth="1"/>
    <col min="3078" max="3078" width="4.5703125" style="24" bestFit="1" customWidth="1"/>
    <col min="3079" max="3079" width="10.140625" style="24" bestFit="1" customWidth="1"/>
    <col min="3080" max="3080" width="12.85546875" style="24" bestFit="1" customWidth="1"/>
    <col min="3081" max="3081" width="16.42578125" style="24" bestFit="1" customWidth="1"/>
    <col min="3082" max="3082" width="11" style="24" bestFit="1" customWidth="1"/>
    <col min="3083" max="3083" width="13.42578125" style="24" bestFit="1" customWidth="1"/>
    <col min="3084" max="3084" width="9.28515625" style="24" bestFit="1" customWidth="1"/>
    <col min="3085" max="3085" width="10.140625" style="24" bestFit="1" customWidth="1"/>
    <col min="3086" max="3086" width="5.42578125" style="24" bestFit="1" customWidth="1"/>
    <col min="3087" max="3087" width="12.140625" style="24" bestFit="1" customWidth="1"/>
    <col min="3088" max="3088" width="7.28515625" style="24" bestFit="1" customWidth="1"/>
    <col min="3089" max="3089" width="12.85546875" style="24" bestFit="1" customWidth="1"/>
    <col min="3090" max="3090" width="11" style="24" bestFit="1" customWidth="1"/>
    <col min="3091" max="3091" width="11.5703125" style="24" bestFit="1" customWidth="1"/>
    <col min="3092" max="3096" width="9.140625" style="24"/>
    <col min="3097" max="3097" width="9.28515625" style="24" bestFit="1" customWidth="1"/>
    <col min="3098" max="3100" width="11.140625" style="24" customWidth="1"/>
    <col min="3101" max="3101" width="13.7109375" style="24" customWidth="1"/>
    <col min="3102" max="3329" width="9.140625" style="24"/>
    <col min="3330" max="3330" width="2.28515625" style="24" customWidth="1"/>
    <col min="3331" max="3331" width="20" style="24" customWidth="1"/>
    <col min="3332" max="3332" width="29.140625" style="24" bestFit="1" customWidth="1"/>
    <col min="3333" max="3333" width="11.85546875" style="24" bestFit="1" customWidth="1"/>
    <col min="3334" max="3334" width="4.5703125" style="24" bestFit="1" customWidth="1"/>
    <col min="3335" max="3335" width="10.140625" style="24" bestFit="1" customWidth="1"/>
    <col min="3336" max="3336" width="12.85546875" style="24" bestFit="1" customWidth="1"/>
    <col min="3337" max="3337" width="16.42578125" style="24" bestFit="1" customWidth="1"/>
    <col min="3338" max="3338" width="11" style="24" bestFit="1" customWidth="1"/>
    <col min="3339" max="3339" width="13.42578125" style="24" bestFit="1" customWidth="1"/>
    <col min="3340" max="3340" width="9.28515625" style="24" bestFit="1" customWidth="1"/>
    <col min="3341" max="3341" width="10.140625" style="24" bestFit="1" customWidth="1"/>
    <col min="3342" max="3342" width="5.42578125" style="24" bestFit="1" customWidth="1"/>
    <col min="3343" max="3343" width="12.140625" style="24" bestFit="1" customWidth="1"/>
    <col min="3344" max="3344" width="7.28515625" style="24" bestFit="1" customWidth="1"/>
    <col min="3345" max="3345" width="12.85546875" style="24" bestFit="1" customWidth="1"/>
    <col min="3346" max="3346" width="11" style="24" bestFit="1" customWidth="1"/>
    <col min="3347" max="3347" width="11.5703125" style="24" bestFit="1" customWidth="1"/>
    <col min="3348" max="3352" width="9.140625" style="24"/>
    <col min="3353" max="3353" width="9.28515625" style="24" bestFit="1" customWidth="1"/>
    <col min="3354" max="3356" width="11.140625" style="24" customWidth="1"/>
    <col min="3357" max="3357" width="13.7109375" style="24" customWidth="1"/>
    <col min="3358" max="3585" width="9.140625" style="24"/>
    <col min="3586" max="3586" width="2.28515625" style="24" customWidth="1"/>
    <col min="3587" max="3587" width="20" style="24" customWidth="1"/>
    <col min="3588" max="3588" width="29.140625" style="24" bestFit="1" customWidth="1"/>
    <col min="3589" max="3589" width="11.85546875" style="24" bestFit="1" customWidth="1"/>
    <col min="3590" max="3590" width="4.5703125" style="24" bestFit="1" customWidth="1"/>
    <col min="3591" max="3591" width="10.140625" style="24" bestFit="1" customWidth="1"/>
    <col min="3592" max="3592" width="12.85546875" style="24" bestFit="1" customWidth="1"/>
    <col min="3593" max="3593" width="16.42578125" style="24" bestFit="1" customWidth="1"/>
    <col min="3594" max="3594" width="11" style="24" bestFit="1" customWidth="1"/>
    <col min="3595" max="3595" width="13.42578125" style="24" bestFit="1" customWidth="1"/>
    <col min="3596" max="3596" width="9.28515625" style="24" bestFit="1" customWidth="1"/>
    <col min="3597" max="3597" width="10.140625" style="24" bestFit="1" customWidth="1"/>
    <col min="3598" max="3598" width="5.42578125" style="24" bestFit="1" customWidth="1"/>
    <col min="3599" max="3599" width="12.140625" style="24" bestFit="1" customWidth="1"/>
    <col min="3600" max="3600" width="7.28515625" style="24" bestFit="1" customWidth="1"/>
    <col min="3601" max="3601" width="12.85546875" style="24" bestFit="1" customWidth="1"/>
    <col min="3602" max="3602" width="11" style="24" bestFit="1" customWidth="1"/>
    <col min="3603" max="3603" width="11.5703125" style="24" bestFit="1" customWidth="1"/>
    <col min="3604" max="3608" width="9.140625" style="24"/>
    <col min="3609" max="3609" width="9.28515625" style="24" bestFit="1" customWidth="1"/>
    <col min="3610" max="3612" width="11.140625" style="24" customWidth="1"/>
    <col min="3613" max="3613" width="13.7109375" style="24" customWidth="1"/>
    <col min="3614" max="3841" width="9.140625" style="24"/>
    <col min="3842" max="3842" width="2.28515625" style="24" customWidth="1"/>
    <col min="3843" max="3843" width="20" style="24" customWidth="1"/>
    <col min="3844" max="3844" width="29.140625" style="24" bestFit="1" customWidth="1"/>
    <col min="3845" max="3845" width="11.85546875" style="24" bestFit="1" customWidth="1"/>
    <col min="3846" max="3846" width="4.5703125" style="24" bestFit="1" customWidth="1"/>
    <col min="3847" max="3847" width="10.140625" style="24" bestFit="1" customWidth="1"/>
    <col min="3848" max="3848" width="12.85546875" style="24" bestFit="1" customWidth="1"/>
    <col min="3849" max="3849" width="16.42578125" style="24" bestFit="1" customWidth="1"/>
    <col min="3850" max="3850" width="11" style="24" bestFit="1" customWidth="1"/>
    <col min="3851" max="3851" width="13.42578125" style="24" bestFit="1" customWidth="1"/>
    <col min="3852" max="3852" width="9.28515625" style="24" bestFit="1" customWidth="1"/>
    <col min="3853" max="3853" width="10.140625" style="24" bestFit="1" customWidth="1"/>
    <col min="3854" max="3854" width="5.42578125" style="24" bestFit="1" customWidth="1"/>
    <col min="3855" max="3855" width="12.140625" style="24" bestFit="1" customWidth="1"/>
    <col min="3856" max="3856" width="7.28515625" style="24" bestFit="1" customWidth="1"/>
    <col min="3857" max="3857" width="12.85546875" style="24" bestFit="1" customWidth="1"/>
    <col min="3858" max="3858" width="11" style="24" bestFit="1" customWidth="1"/>
    <col min="3859" max="3859" width="11.5703125" style="24" bestFit="1" customWidth="1"/>
    <col min="3860" max="3864" width="9.140625" style="24"/>
    <col min="3865" max="3865" width="9.28515625" style="24" bestFit="1" customWidth="1"/>
    <col min="3866" max="3868" width="11.140625" style="24" customWidth="1"/>
    <col min="3869" max="3869" width="13.7109375" style="24" customWidth="1"/>
    <col min="3870" max="4097" width="9.140625" style="24"/>
    <col min="4098" max="4098" width="2.28515625" style="24" customWidth="1"/>
    <col min="4099" max="4099" width="20" style="24" customWidth="1"/>
    <col min="4100" max="4100" width="29.140625" style="24" bestFit="1" customWidth="1"/>
    <col min="4101" max="4101" width="11.85546875" style="24" bestFit="1" customWidth="1"/>
    <col min="4102" max="4102" width="4.5703125" style="24" bestFit="1" customWidth="1"/>
    <col min="4103" max="4103" width="10.140625" style="24" bestFit="1" customWidth="1"/>
    <col min="4104" max="4104" width="12.85546875" style="24" bestFit="1" customWidth="1"/>
    <col min="4105" max="4105" width="16.42578125" style="24" bestFit="1" customWidth="1"/>
    <col min="4106" max="4106" width="11" style="24" bestFit="1" customWidth="1"/>
    <col min="4107" max="4107" width="13.42578125" style="24" bestFit="1" customWidth="1"/>
    <col min="4108" max="4108" width="9.28515625" style="24" bestFit="1" customWidth="1"/>
    <col min="4109" max="4109" width="10.140625" style="24" bestFit="1" customWidth="1"/>
    <col min="4110" max="4110" width="5.42578125" style="24" bestFit="1" customWidth="1"/>
    <col min="4111" max="4111" width="12.140625" style="24" bestFit="1" customWidth="1"/>
    <col min="4112" max="4112" width="7.28515625" style="24" bestFit="1" customWidth="1"/>
    <col min="4113" max="4113" width="12.85546875" style="24" bestFit="1" customWidth="1"/>
    <col min="4114" max="4114" width="11" style="24" bestFit="1" customWidth="1"/>
    <col min="4115" max="4115" width="11.5703125" style="24" bestFit="1" customWidth="1"/>
    <col min="4116" max="4120" width="9.140625" style="24"/>
    <col min="4121" max="4121" width="9.28515625" style="24" bestFit="1" customWidth="1"/>
    <col min="4122" max="4124" width="11.140625" style="24" customWidth="1"/>
    <col min="4125" max="4125" width="13.7109375" style="24" customWidth="1"/>
    <col min="4126" max="4353" width="9.140625" style="24"/>
    <col min="4354" max="4354" width="2.28515625" style="24" customWidth="1"/>
    <col min="4355" max="4355" width="20" style="24" customWidth="1"/>
    <col min="4356" max="4356" width="29.140625" style="24" bestFit="1" customWidth="1"/>
    <col min="4357" max="4357" width="11.85546875" style="24" bestFit="1" customWidth="1"/>
    <col min="4358" max="4358" width="4.5703125" style="24" bestFit="1" customWidth="1"/>
    <col min="4359" max="4359" width="10.140625" style="24" bestFit="1" customWidth="1"/>
    <col min="4360" max="4360" width="12.85546875" style="24" bestFit="1" customWidth="1"/>
    <col min="4361" max="4361" width="16.42578125" style="24" bestFit="1" customWidth="1"/>
    <col min="4362" max="4362" width="11" style="24" bestFit="1" customWidth="1"/>
    <col min="4363" max="4363" width="13.42578125" style="24" bestFit="1" customWidth="1"/>
    <col min="4364" max="4364" width="9.28515625" style="24" bestFit="1" customWidth="1"/>
    <col min="4365" max="4365" width="10.140625" style="24" bestFit="1" customWidth="1"/>
    <col min="4366" max="4366" width="5.42578125" style="24" bestFit="1" customWidth="1"/>
    <col min="4367" max="4367" width="12.140625" style="24" bestFit="1" customWidth="1"/>
    <col min="4368" max="4368" width="7.28515625" style="24" bestFit="1" customWidth="1"/>
    <col min="4369" max="4369" width="12.85546875" style="24" bestFit="1" customWidth="1"/>
    <col min="4370" max="4370" width="11" style="24" bestFit="1" customWidth="1"/>
    <col min="4371" max="4371" width="11.5703125" style="24" bestFit="1" customWidth="1"/>
    <col min="4372" max="4376" width="9.140625" style="24"/>
    <col min="4377" max="4377" width="9.28515625" style="24" bestFit="1" customWidth="1"/>
    <col min="4378" max="4380" width="11.140625" style="24" customWidth="1"/>
    <col min="4381" max="4381" width="13.7109375" style="24" customWidth="1"/>
    <col min="4382" max="4609" width="9.140625" style="24"/>
    <col min="4610" max="4610" width="2.28515625" style="24" customWidth="1"/>
    <col min="4611" max="4611" width="20" style="24" customWidth="1"/>
    <col min="4612" max="4612" width="29.140625" style="24" bestFit="1" customWidth="1"/>
    <col min="4613" max="4613" width="11.85546875" style="24" bestFit="1" customWidth="1"/>
    <col min="4614" max="4614" width="4.5703125" style="24" bestFit="1" customWidth="1"/>
    <col min="4615" max="4615" width="10.140625" style="24" bestFit="1" customWidth="1"/>
    <col min="4616" max="4616" width="12.85546875" style="24" bestFit="1" customWidth="1"/>
    <col min="4617" max="4617" width="16.42578125" style="24" bestFit="1" customWidth="1"/>
    <col min="4618" max="4618" width="11" style="24" bestFit="1" customWidth="1"/>
    <col min="4619" max="4619" width="13.42578125" style="24" bestFit="1" customWidth="1"/>
    <col min="4620" max="4620" width="9.28515625" style="24" bestFit="1" customWidth="1"/>
    <col min="4621" max="4621" width="10.140625" style="24" bestFit="1" customWidth="1"/>
    <col min="4622" max="4622" width="5.42578125" style="24" bestFit="1" customWidth="1"/>
    <col min="4623" max="4623" width="12.140625" style="24" bestFit="1" customWidth="1"/>
    <col min="4624" max="4624" width="7.28515625" style="24" bestFit="1" customWidth="1"/>
    <col min="4625" max="4625" width="12.85546875" style="24" bestFit="1" customWidth="1"/>
    <col min="4626" max="4626" width="11" style="24" bestFit="1" customWidth="1"/>
    <col min="4627" max="4627" width="11.5703125" style="24" bestFit="1" customWidth="1"/>
    <col min="4628" max="4632" width="9.140625" style="24"/>
    <col min="4633" max="4633" width="9.28515625" style="24" bestFit="1" customWidth="1"/>
    <col min="4634" max="4636" width="11.140625" style="24" customWidth="1"/>
    <col min="4637" max="4637" width="13.7109375" style="24" customWidth="1"/>
    <col min="4638" max="4865" width="9.140625" style="24"/>
    <col min="4866" max="4866" width="2.28515625" style="24" customWidth="1"/>
    <col min="4867" max="4867" width="20" style="24" customWidth="1"/>
    <col min="4868" max="4868" width="29.140625" style="24" bestFit="1" customWidth="1"/>
    <col min="4869" max="4869" width="11.85546875" style="24" bestFit="1" customWidth="1"/>
    <col min="4870" max="4870" width="4.5703125" style="24" bestFit="1" customWidth="1"/>
    <col min="4871" max="4871" width="10.140625" style="24" bestFit="1" customWidth="1"/>
    <col min="4872" max="4872" width="12.85546875" style="24" bestFit="1" customWidth="1"/>
    <col min="4873" max="4873" width="16.42578125" style="24" bestFit="1" customWidth="1"/>
    <col min="4874" max="4874" width="11" style="24" bestFit="1" customWidth="1"/>
    <col min="4875" max="4875" width="13.42578125" style="24" bestFit="1" customWidth="1"/>
    <col min="4876" max="4876" width="9.28515625" style="24" bestFit="1" customWidth="1"/>
    <col min="4877" max="4877" width="10.140625" style="24" bestFit="1" customWidth="1"/>
    <col min="4878" max="4878" width="5.42578125" style="24" bestFit="1" customWidth="1"/>
    <col min="4879" max="4879" width="12.140625" style="24" bestFit="1" customWidth="1"/>
    <col min="4880" max="4880" width="7.28515625" style="24" bestFit="1" customWidth="1"/>
    <col min="4881" max="4881" width="12.85546875" style="24" bestFit="1" customWidth="1"/>
    <col min="4882" max="4882" width="11" style="24" bestFit="1" customWidth="1"/>
    <col min="4883" max="4883" width="11.5703125" style="24" bestFit="1" customWidth="1"/>
    <col min="4884" max="4888" width="9.140625" style="24"/>
    <col min="4889" max="4889" width="9.28515625" style="24" bestFit="1" customWidth="1"/>
    <col min="4890" max="4892" width="11.140625" style="24" customWidth="1"/>
    <col min="4893" max="4893" width="13.7109375" style="24" customWidth="1"/>
    <col min="4894" max="5121" width="9.140625" style="24"/>
    <col min="5122" max="5122" width="2.28515625" style="24" customWidth="1"/>
    <col min="5123" max="5123" width="20" style="24" customWidth="1"/>
    <col min="5124" max="5124" width="29.140625" style="24" bestFit="1" customWidth="1"/>
    <col min="5125" max="5125" width="11.85546875" style="24" bestFit="1" customWidth="1"/>
    <col min="5126" max="5126" width="4.5703125" style="24" bestFit="1" customWidth="1"/>
    <col min="5127" max="5127" width="10.140625" style="24" bestFit="1" customWidth="1"/>
    <col min="5128" max="5128" width="12.85546875" style="24" bestFit="1" customWidth="1"/>
    <col min="5129" max="5129" width="16.42578125" style="24" bestFit="1" customWidth="1"/>
    <col min="5130" max="5130" width="11" style="24" bestFit="1" customWidth="1"/>
    <col min="5131" max="5131" width="13.42578125" style="24" bestFit="1" customWidth="1"/>
    <col min="5132" max="5132" width="9.28515625" style="24" bestFit="1" customWidth="1"/>
    <col min="5133" max="5133" width="10.140625" style="24" bestFit="1" customWidth="1"/>
    <col min="5134" max="5134" width="5.42578125" style="24" bestFit="1" customWidth="1"/>
    <col min="5135" max="5135" width="12.140625" style="24" bestFit="1" customWidth="1"/>
    <col min="5136" max="5136" width="7.28515625" style="24" bestFit="1" customWidth="1"/>
    <col min="5137" max="5137" width="12.85546875" style="24" bestFit="1" customWidth="1"/>
    <col min="5138" max="5138" width="11" style="24" bestFit="1" customWidth="1"/>
    <col min="5139" max="5139" width="11.5703125" style="24" bestFit="1" customWidth="1"/>
    <col min="5140" max="5144" width="9.140625" style="24"/>
    <col min="5145" max="5145" width="9.28515625" style="24" bestFit="1" customWidth="1"/>
    <col min="5146" max="5148" width="11.140625" style="24" customWidth="1"/>
    <col min="5149" max="5149" width="13.7109375" style="24" customWidth="1"/>
    <col min="5150" max="5377" width="9.140625" style="24"/>
    <col min="5378" max="5378" width="2.28515625" style="24" customWidth="1"/>
    <col min="5379" max="5379" width="20" style="24" customWidth="1"/>
    <col min="5380" max="5380" width="29.140625" style="24" bestFit="1" customWidth="1"/>
    <col min="5381" max="5381" width="11.85546875" style="24" bestFit="1" customWidth="1"/>
    <col min="5382" max="5382" width="4.5703125" style="24" bestFit="1" customWidth="1"/>
    <col min="5383" max="5383" width="10.140625" style="24" bestFit="1" customWidth="1"/>
    <col min="5384" max="5384" width="12.85546875" style="24" bestFit="1" customWidth="1"/>
    <col min="5385" max="5385" width="16.42578125" style="24" bestFit="1" customWidth="1"/>
    <col min="5386" max="5386" width="11" style="24" bestFit="1" customWidth="1"/>
    <col min="5387" max="5387" width="13.42578125" style="24" bestFit="1" customWidth="1"/>
    <col min="5388" max="5388" width="9.28515625" style="24" bestFit="1" customWidth="1"/>
    <col min="5389" max="5389" width="10.140625" style="24" bestFit="1" customWidth="1"/>
    <col min="5390" max="5390" width="5.42578125" style="24" bestFit="1" customWidth="1"/>
    <col min="5391" max="5391" width="12.140625" style="24" bestFit="1" customWidth="1"/>
    <col min="5392" max="5392" width="7.28515625" style="24" bestFit="1" customWidth="1"/>
    <col min="5393" max="5393" width="12.85546875" style="24" bestFit="1" customWidth="1"/>
    <col min="5394" max="5394" width="11" style="24" bestFit="1" customWidth="1"/>
    <col min="5395" max="5395" width="11.5703125" style="24" bestFit="1" customWidth="1"/>
    <col min="5396" max="5400" width="9.140625" style="24"/>
    <col min="5401" max="5401" width="9.28515625" style="24" bestFit="1" customWidth="1"/>
    <col min="5402" max="5404" width="11.140625" style="24" customWidth="1"/>
    <col min="5405" max="5405" width="13.7109375" style="24" customWidth="1"/>
    <col min="5406" max="5633" width="9.140625" style="24"/>
    <col min="5634" max="5634" width="2.28515625" style="24" customWidth="1"/>
    <col min="5635" max="5635" width="20" style="24" customWidth="1"/>
    <col min="5636" max="5636" width="29.140625" style="24" bestFit="1" customWidth="1"/>
    <col min="5637" max="5637" width="11.85546875" style="24" bestFit="1" customWidth="1"/>
    <col min="5638" max="5638" width="4.5703125" style="24" bestFit="1" customWidth="1"/>
    <col min="5639" max="5639" width="10.140625" style="24" bestFit="1" customWidth="1"/>
    <col min="5640" max="5640" width="12.85546875" style="24" bestFit="1" customWidth="1"/>
    <col min="5641" max="5641" width="16.42578125" style="24" bestFit="1" customWidth="1"/>
    <col min="5642" max="5642" width="11" style="24" bestFit="1" customWidth="1"/>
    <col min="5643" max="5643" width="13.42578125" style="24" bestFit="1" customWidth="1"/>
    <col min="5644" max="5644" width="9.28515625" style="24" bestFit="1" customWidth="1"/>
    <col min="5645" max="5645" width="10.140625" style="24" bestFit="1" customWidth="1"/>
    <col min="5646" max="5646" width="5.42578125" style="24" bestFit="1" customWidth="1"/>
    <col min="5647" max="5647" width="12.140625" style="24" bestFit="1" customWidth="1"/>
    <col min="5648" max="5648" width="7.28515625" style="24" bestFit="1" customWidth="1"/>
    <col min="5649" max="5649" width="12.85546875" style="24" bestFit="1" customWidth="1"/>
    <col min="5650" max="5650" width="11" style="24" bestFit="1" customWidth="1"/>
    <col min="5651" max="5651" width="11.5703125" style="24" bestFit="1" customWidth="1"/>
    <col min="5652" max="5656" width="9.140625" style="24"/>
    <col min="5657" max="5657" width="9.28515625" style="24" bestFit="1" customWidth="1"/>
    <col min="5658" max="5660" width="11.140625" style="24" customWidth="1"/>
    <col min="5661" max="5661" width="13.7109375" style="24" customWidth="1"/>
    <col min="5662" max="5889" width="9.140625" style="24"/>
    <col min="5890" max="5890" width="2.28515625" style="24" customWidth="1"/>
    <col min="5891" max="5891" width="20" style="24" customWidth="1"/>
    <col min="5892" max="5892" width="29.140625" style="24" bestFit="1" customWidth="1"/>
    <col min="5893" max="5893" width="11.85546875" style="24" bestFit="1" customWidth="1"/>
    <col min="5894" max="5894" width="4.5703125" style="24" bestFit="1" customWidth="1"/>
    <col min="5895" max="5895" width="10.140625" style="24" bestFit="1" customWidth="1"/>
    <col min="5896" max="5896" width="12.85546875" style="24" bestFit="1" customWidth="1"/>
    <col min="5897" max="5897" width="16.42578125" style="24" bestFit="1" customWidth="1"/>
    <col min="5898" max="5898" width="11" style="24" bestFit="1" customWidth="1"/>
    <col min="5899" max="5899" width="13.42578125" style="24" bestFit="1" customWidth="1"/>
    <col min="5900" max="5900" width="9.28515625" style="24" bestFit="1" customWidth="1"/>
    <col min="5901" max="5901" width="10.140625" style="24" bestFit="1" customWidth="1"/>
    <col min="5902" max="5902" width="5.42578125" style="24" bestFit="1" customWidth="1"/>
    <col min="5903" max="5903" width="12.140625" style="24" bestFit="1" customWidth="1"/>
    <col min="5904" max="5904" width="7.28515625" style="24" bestFit="1" customWidth="1"/>
    <col min="5905" max="5905" width="12.85546875" style="24" bestFit="1" customWidth="1"/>
    <col min="5906" max="5906" width="11" style="24" bestFit="1" customWidth="1"/>
    <col min="5907" max="5907" width="11.5703125" style="24" bestFit="1" customWidth="1"/>
    <col min="5908" max="5912" width="9.140625" style="24"/>
    <col min="5913" max="5913" width="9.28515625" style="24" bestFit="1" customWidth="1"/>
    <col min="5914" max="5916" width="11.140625" style="24" customWidth="1"/>
    <col min="5917" max="5917" width="13.7109375" style="24" customWidth="1"/>
    <col min="5918" max="6145" width="9.140625" style="24"/>
    <col min="6146" max="6146" width="2.28515625" style="24" customWidth="1"/>
    <col min="6147" max="6147" width="20" style="24" customWidth="1"/>
    <col min="6148" max="6148" width="29.140625" style="24" bestFit="1" customWidth="1"/>
    <col min="6149" max="6149" width="11.85546875" style="24" bestFit="1" customWidth="1"/>
    <col min="6150" max="6150" width="4.5703125" style="24" bestFit="1" customWidth="1"/>
    <col min="6151" max="6151" width="10.140625" style="24" bestFit="1" customWidth="1"/>
    <col min="6152" max="6152" width="12.85546875" style="24" bestFit="1" customWidth="1"/>
    <col min="6153" max="6153" width="16.42578125" style="24" bestFit="1" customWidth="1"/>
    <col min="6154" max="6154" width="11" style="24" bestFit="1" customWidth="1"/>
    <col min="6155" max="6155" width="13.42578125" style="24" bestFit="1" customWidth="1"/>
    <col min="6156" max="6156" width="9.28515625" style="24" bestFit="1" customWidth="1"/>
    <col min="6157" max="6157" width="10.140625" style="24" bestFit="1" customWidth="1"/>
    <col min="6158" max="6158" width="5.42578125" style="24" bestFit="1" customWidth="1"/>
    <col min="6159" max="6159" width="12.140625" style="24" bestFit="1" customWidth="1"/>
    <col min="6160" max="6160" width="7.28515625" style="24" bestFit="1" customWidth="1"/>
    <col min="6161" max="6161" width="12.85546875" style="24" bestFit="1" customWidth="1"/>
    <col min="6162" max="6162" width="11" style="24" bestFit="1" customWidth="1"/>
    <col min="6163" max="6163" width="11.5703125" style="24" bestFit="1" customWidth="1"/>
    <col min="6164" max="6168" width="9.140625" style="24"/>
    <col min="6169" max="6169" width="9.28515625" style="24" bestFit="1" customWidth="1"/>
    <col min="6170" max="6172" width="11.140625" style="24" customWidth="1"/>
    <col min="6173" max="6173" width="13.7109375" style="24" customWidth="1"/>
    <col min="6174" max="6401" width="9.140625" style="24"/>
    <col min="6402" max="6402" width="2.28515625" style="24" customWidth="1"/>
    <col min="6403" max="6403" width="20" style="24" customWidth="1"/>
    <col min="6404" max="6404" width="29.140625" style="24" bestFit="1" customWidth="1"/>
    <col min="6405" max="6405" width="11.85546875" style="24" bestFit="1" customWidth="1"/>
    <col min="6406" max="6406" width="4.5703125" style="24" bestFit="1" customWidth="1"/>
    <col min="6407" max="6407" width="10.140625" style="24" bestFit="1" customWidth="1"/>
    <col min="6408" max="6408" width="12.85546875" style="24" bestFit="1" customWidth="1"/>
    <col min="6409" max="6409" width="16.42578125" style="24" bestFit="1" customWidth="1"/>
    <col min="6410" max="6410" width="11" style="24" bestFit="1" customWidth="1"/>
    <col min="6411" max="6411" width="13.42578125" style="24" bestFit="1" customWidth="1"/>
    <col min="6412" max="6412" width="9.28515625" style="24" bestFit="1" customWidth="1"/>
    <col min="6413" max="6413" width="10.140625" style="24" bestFit="1" customWidth="1"/>
    <col min="6414" max="6414" width="5.42578125" style="24" bestFit="1" customWidth="1"/>
    <col min="6415" max="6415" width="12.140625" style="24" bestFit="1" customWidth="1"/>
    <col min="6416" max="6416" width="7.28515625" style="24" bestFit="1" customWidth="1"/>
    <col min="6417" max="6417" width="12.85546875" style="24" bestFit="1" customWidth="1"/>
    <col min="6418" max="6418" width="11" style="24" bestFit="1" customWidth="1"/>
    <col min="6419" max="6419" width="11.5703125" style="24" bestFit="1" customWidth="1"/>
    <col min="6420" max="6424" width="9.140625" style="24"/>
    <col min="6425" max="6425" width="9.28515625" style="24" bestFit="1" customWidth="1"/>
    <col min="6426" max="6428" width="11.140625" style="24" customWidth="1"/>
    <col min="6429" max="6429" width="13.7109375" style="24" customWidth="1"/>
    <col min="6430" max="6657" width="9.140625" style="24"/>
    <col min="6658" max="6658" width="2.28515625" style="24" customWidth="1"/>
    <col min="6659" max="6659" width="20" style="24" customWidth="1"/>
    <col min="6660" max="6660" width="29.140625" style="24" bestFit="1" customWidth="1"/>
    <col min="6661" max="6661" width="11.85546875" style="24" bestFit="1" customWidth="1"/>
    <col min="6662" max="6662" width="4.5703125" style="24" bestFit="1" customWidth="1"/>
    <col min="6663" max="6663" width="10.140625" style="24" bestFit="1" customWidth="1"/>
    <col min="6664" max="6664" width="12.85546875" style="24" bestFit="1" customWidth="1"/>
    <col min="6665" max="6665" width="16.42578125" style="24" bestFit="1" customWidth="1"/>
    <col min="6666" max="6666" width="11" style="24" bestFit="1" customWidth="1"/>
    <col min="6667" max="6667" width="13.42578125" style="24" bestFit="1" customWidth="1"/>
    <col min="6668" max="6668" width="9.28515625" style="24" bestFit="1" customWidth="1"/>
    <col min="6669" max="6669" width="10.140625" style="24" bestFit="1" customWidth="1"/>
    <col min="6670" max="6670" width="5.42578125" style="24" bestFit="1" customWidth="1"/>
    <col min="6671" max="6671" width="12.140625" style="24" bestFit="1" customWidth="1"/>
    <col min="6672" max="6672" width="7.28515625" style="24" bestFit="1" customWidth="1"/>
    <col min="6673" max="6673" width="12.85546875" style="24" bestFit="1" customWidth="1"/>
    <col min="6674" max="6674" width="11" style="24" bestFit="1" customWidth="1"/>
    <col min="6675" max="6675" width="11.5703125" style="24" bestFit="1" customWidth="1"/>
    <col min="6676" max="6680" width="9.140625" style="24"/>
    <col min="6681" max="6681" width="9.28515625" style="24" bestFit="1" customWidth="1"/>
    <col min="6682" max="6684" width="11.140625" style="24" customWidth="1"/>
    <col min="6685" max="6685" width="13.7109375" style="24" customWidth="1"/>
    <col min="6686" max="6913" width="9.140625" style="24"/>
    <col min="6914" max="6914" width="2.28515625" style="24" customWidth="1"/>
    <col min="6915" max="6915" width="20" style="24" customWidth="1"/>
    <col min="6916" max="6916" width="29.140625" style="24" bestFit="1" customWidth="1"/>
    <col min="6917" max="6917" width="11.85546875" style="24" bestFit="1" customWidth="1"/>
    <col min="6918" max="6918" width="4.5703125" style="24" bestFit="1" customWidth="1"/>
    <col min="6919" max="6919" width="10.140625" style="24" bestFit="1" customWidth="1"/>
    <col min="6920" max="6920" width="12.85546875" style="24" bestFit="1" customWidth="1"/>
    <col min="6921" max="6921" width="16.42578125" style="24" bestFit="1" customWidth="1"/>
    <col min="6922" max="6922" width="11" style="24" bestFit="1" customWidth="1"/>
    <col min="6923" max="6923" width="13.42578125" style="24" bestFit="1" customWidth="1"/>
    <col min="6924" max="6924" width="9.28515625" style="24" bestFit="1" customWidth="1"/>
    <col min="6925" max="6925" width="10.140625" style="24" bestFit="1" customWidth="1"/>
    <col min="6926" max="6926" width="5.42578125" style="24" bestFit="1" customWidth="1"/>
    <col min="6927" max="6927" width="12.140625" style="24" bestFit="1" customWidth="1"/>
    <col min="6928" max="6928" width="7.28515625" style="24" bestFit="1" customWidth="1"/>
    <col min="6929" max="6929" width="12.85546875" style="24" bestFit="1" customWidth="1"/>
    <col min="6930" max="6930" width="11" style="24" bestFit="1" customWidth="1"/>
    <col min="6931" max="6931" width="11.5703125" style="24" bestFit="1" customWidth="1"/>
    <col min="6932" max="6936" width="9.140625" style="24"/>
    <col min="6937" max="6937" width="9.28515625" style="24" bestFit="1" customWidth="1"/>
    <col min="6938" max="6940" width="11.140625" style="24" customWidth="1"/>
    <col min="6941" max="6941" width="13.7109375" style="24" customWidth="1"/>
    <col min="6942" max="7169" width="9.140625" style="24"/>
    <col min="7170" max="7170" width="2.28515625" style="24" customWidth="1"/>
    <col min="7171" max="7171" width="20" style="24" customWidth="1"/>
    <col min="7172" max="7172" width="29.140625" style="24" bestFit="1" customWidth="1"/>
    <col min="7173" max="7173" width="11.85546875" style="24" bestFit="1" customWidth="1"/>
    <col min="7174" max="7174" width="4.5703125" style="24" bestFit="1" customWidth="1"/>
    <col min="7175" max="7175" width="10.140625" style="24" bestFit="1" customWidth="1"/>
    <col min="7176" max="7176" width="12.85546875" style="24" bestFit="1" customWidth="1"/>
    <col min="7177" max="7177" width="16.42578125" style="24" bestFit="1" customWidth="1"/>
    <col min="7178" max="7178" width="11" style="24" bestFit="1" customWidth="1"/>
    <col min="7179" max="7179" width="13.42578125" style="24" bestFit="1" customWidth="1"/>
    <col min="7180" max="7180" width="9.28515625" style="24" bestFit="1" customWidth="1"/>
    <col min="7181" max="7181" width="10.140625" style="24" bestFit="1" customWidth="1"/>
    <col min="7182" max="7182" width="5.42578125" style="24" bestFit="1" customWidth="1"/>
    <col min="7183" max="7183" width="12.140625" style="24" bestFit="1" customWidth="1"/>
    <col min="7184" max="7184" width="7.28515625" style="24" bestFit="1" customWidth="1"/>
    <col min="7185" max="7185" width="12.85546875" style="24" bestFit="1" customWidth="1"/>
    <col min="7186" max="7186" width="11" style="24" bestFit="1" customWidth="1"/>
    <col min="7187" max="7187" width="11.5703125" style="24" bestFit="1" customWidth="1"/>
    <col min="7188" max="7192" width="9.140625" style="24"/>
    <col min="7193" max="7193" width="9.28515625" style="24" bestFit="1" customWidth="1"/>
    <col min="7194" max="7196" width="11.140625" style="24" customWidth="1"/>
    <col min="7197" max="7197" width="13.7109375" style="24" customWidth="1"/>
    <col min="7198" max="7425" width="9.140625" style="24"/>
    <col min="7426" max="7426" width="2.28515625" style="24" customWidth="1"/>
    <col min="7427" max="7427" width="20" style="24" customWidth="1"/>
    <col min="7428" max="7428" width="29.140625" style="24" bestFit="1" customWidth="1"/>
    <col min="7429" max="7429" width="11.85546875" style="24" bestFit="1" customWidth="1"/>
    <col min="7430" max="7430" width="4.5703125" style="24" bestFit="1" customWidth="1"/>
    <col min="7431" max="7431" width="10.140625" style="24" bestFit="1" customWidth="1"/>
    <col min="7432" max="7432" width="12.85546875" style="24" bestFit="1" customWidth="1"/>
    <col min="7433" max="7433" width="16.42578125" style="24" bestFit="1" customWidth="1"/>
    <col min="7434" max="7434" width="11" style="24" bestFit="1" customWidth="1"/>
    <col min="7435" max="7435" width="13.42578125" style="24" bestFit="1" customWidth="1"/>
    <col min="7436" max="7436" width="9.28515625" style="24" bestFit="1" customWidth="1"/>
    <col min="7437" max="7437" width="10.140625" style="24" bestFit="1" customWidth="1"/>
    <col min="7438" max="7438" width="5.42578125" style="24" bestFit="1" customWidth="1"/>
    <col min="7439" max="7439" width="12.140625" style="24" bestFit="1" customWidth="1"/>
    <col min="7440" max="7440" width="7.28515625" style="24" bestFit="1" customWidth="1"/>
    <col min="7441" max="7441" width="12.85546875" style="24" bestFit="1" customWidth="1"/>
    <col min="7442" max="7442" width="11" style="24" bestFit="1" customWidth="1"/>
    <col min="7443" max="7443" width="11.5703125" style="24" bestFit="1" customWidth="1"/>
    <col min="7444" max="7448" width="9.140625" style="24"/>
    <col min="7449" max="7449" width="9.28515625" style="24" bestFit="1" customWidth="1"/>
    <col min="7450" max="7452" width="11.140625" style="24" customWidth="1"/>
    <col min="7453" max="7453" width="13.7109375" style="24" customWidth="1"/>
    <col min="7454" max="7681" width="9.140625" style="24"/>
    <col min="7682" max="7682" width="2.28515625" style="24" customWidth="1"/>
    <col min="7683" max="7683" width="20" style="24" customWidth="1"/>
    <col min="7684" max="7684" width="29.140625" style="24" bestFit="1" customWidth="1"/>
    <col min="7685" max="7685" width="11.85546875" style="24" bestFit="1" customWidth="1"/>
    <col min="7686" max="7686" width="4.5703125" style="24" bestFit="1" customWidth="1"/>
    <col min="7687" max="7687" width="10.140625" style="24" bestFit="1" customWidth="1"/>
    <col min="7688" max="7688" width="12.85546875" style="24" bestFit="1" customWidth="1"/>
    <col min="7689" max="7689" width="16.42578125" style="24" bestFit="1" customWidth="1"/>
    <col min="7690" max="7690" width="11" style="24" bestFit="1" customWidth="1"/>
    <col min="7691" max="7691" width="13.42578125" style="24" bestFit="1" customWidth="1"/>
    <col min="7692" max="7692" width="9.28515625" style="24" bestFit="1" customWidth="1"/>
    <col min="7693" max="7693" width="10.140625" style="24" bestFit="1" customWidth="1"/>
    <col min="7694" max="7694" width="5.42578125" style="24" bestFit="1" customWidth="1"/>
    <col min="7695" max="7695" width="12.140625" style="24" bestFit="1" customWidth="1"/>
    <col min="7696" max="7696" width="7.28515625" style="24" bestFit="1" customWidth="1"/>
    <col min="7697" max="7697" width="12.85546875" style="24" bestFit="1" customWidth="1"/>
    <col min="7698" max="7698" width="11" style="24" bestFit="1" customWidth="1"/>
    <col min="7699" max="7699" width="11.5703125" style="24" bestFit="1" customWidth="1"/>
    <col min="7700" max="7704" width="9.140625" style="24"/>
    <col min="7705" max="7705" width="9.28515625" style="24" bestFit="1" customWidth="1"/>
    <col min="7706" max="7708" width="11.140625" style="24" customWidth="1"/>
    <col min="7709" max="7709" width="13.7109375" style="24" customWidth="1"/>
    <col min="7710" max="7937" width="9.140625" style="24"/>
    <col min="7938" max="7938" width="2.28515625" style="24" customWidth="1"/>
    <col min="7939" max="7939" width="20" style="24" customWidth="1"/>
    <col min="7940" max="7940" width="29.140625" style="24" bestFit="1" customWidth="1"/>
    <col min="7941" max="7941" width="11.85546875" style="24" bestFit="1" customWidth="1"/>
    <col min="7942" max="7942" width="4.5703125" style="24" bestFit="1" customWidth="1"/>
    <col min="7943" max="7943" width="10.140625" style="24" bestFit="1" customWidth="1"/>
    <col min="7944" max="7944" width="12.85546875" style="24" bestFit="1" customWidth="1"/>
    <col min="7945" max="7945" width="16.42578125" style="24" bestFit="1" customWidth="1"/>
    <col min="7946" max="7946" width="11" style="24" bestFit="1" customWidth="1"/>
    <col min="7947" max="7947" width="13.42578125" style="24" bestFit="1" customWidth="1"/>
    <col min="7948" max="7948" width="9.28515625" style="24" bestFit="1" customWidth="1"/>
    <col min="7949" max="7949" width="10.140625" style="24" bestFit="1" customWidth="1"/>
    <col min="7950" max="7950" width="5.42578125" style="24" bestFit="1" customWidth="1"/>
    <col min="7951" max="7951" width="12.140625" style="24" bestFit="1" customWidth="1"/>
    <col min="7952" max="7952" width="7.28515625" style="24" bestFit="1" customWidth="1"/>
    <col min="7953" max="7953" width="12.85546875" style="24" bestFit="1" customWidth="1"/>
    <col min="7954" max="7954" width="11" style="24" bestFit="1" customWidth="1"/>
    <col min="7955" max="7955" width="11.5703125" style="24" bestFit="1" customWidth="1"/>
    <col min="7956" max="7960" width="9.140625" style="24"/>
    <col min="7961" max="7961" width="9.28515625" style="24" bestFit="1" customWidth="1"/>
    <col min="7962" max="7964" width="11.140625" style="24" customWidth="1"/>
    <col min="7965" max="7965" width="13.7109375" style="24" customWidth="1"/>
    <col min="7966" max="8193" width="9.140625" style="24"/>
    <col min="8194" max="8194" width="2.28515625" style="24" customWidth="1"/>
    <col min="8195" max="8195" width="20" style="24" customWidth="1"/>
    <col min="8196" max="8196" width="29.140625" style="24" bestFit="1" customWidth="1"/>
    <col min="8197" max="8197" width="11.85546875" style="24" bestFit="1" customWidth="1"/>
    <col min="8198" max="8198" width="4.5703125" style="24" bestFit="1" customWidth="1"/>
    <col min="8199" max="8199" width="10.140625" style="24" bestFit="1" customWidth="1"/>
    <col min="8200" max="8200" width="12.85546875" style="24" bestFit="1" customWidth="1"/>
    <col min="8201" max="8201" width="16.42578125" style="24" bestFit="1" customWidth="1"/>
    <col min="8202" max="8202" width="11" style="24" bestFit="1" customWidth="1"/>
    <col min="8203" max="8203" width="13.42578125" style="24" bestFit="1" customWidth="1"/>
    <col min="8204" max="8204" width="9.28515625" style="24" bestFit="1" customWidth="1"/>
    <col min="8205" max="8205" width="10.140625" style="24" bestFit="1" customWidth="1"/>
    <col min="8206" max="8206" width="5.42578125" style="24" bestFit="1" customWidth="1"/>
    <col min="8207" max="8207" width="12.140625" style="24" bestFit="1" customWidth="1"/>
    <col min="8208" max="8208" width="7.28515625" style="24" bestFit="1" customWidth="1"/>
    <col min="8209" max="8209" width="12.85546875" style="24" bestFit="1" customWidth="1"/>
    <col min="8210" max="8210" width="11" style="24" bestFit="1" customWidth="1"/>
    <col min="8211" max="8211" width="11.5703125" style="24" bestFit="1" customWidth="1"/>
    <col min="8212" max="8216" width="9.140625" style="24"/>
    <col min="8217" max="8217" width="9.28515625" style="24" bestFit="1" customWidth="1"/>
    <col min="8218" max="8220" width="11.140625" style="24" customWidth="1"/>
    <col min="8221" max="8221" width="13.7109375" style="24" customWidth="1"/>
    <col min="8222" max="8449" width="9.140625" style="24"/>
    <col min="8450" max="8450" width="2.28515625" style="24" customWidth="1"/>
    <col min="8451" max="8451" width="20" style="24" customWidth="1"/>
    <col min="8452" max="8452" width="29.140625" style="24" bestFit="1" customWidth="1"/>
    <col min="8453" max="8453" width="11.85546875" style="24" bestFit="1" customWidth="1"/>
    <col min="8454" max="8454" width="4.5703125" style="24" bestFit="1" customWidth="1"/>
    <col min="8455" max="8455" width="10.140625" style="24" bestFit="1" customWidth="1"/>
    <col min="8456" max="8456" width="12.85546875" style="24" bestFit="1" customWidth="1"/>
    <col min="8457" max="8457" width="16.42578125" style="24" bestFit="1" customWidth="1"/>
    <col min="8458" max="8458" width="11" style="24" bestFit="1" customWidth="1"/>
    <col min="8459" max="8459" width="13.42578125" style="24" bestFit="1" customWidth="1"/>
    <col min="8460" max="8460" width="9.28515625" style="24" bestFit="1" customWidth="1"/>
    <col min="8461" max="8461" width="10.140625" style="24" bestFit="1" customWidth="1"/>
    <col min="8462" max="8462" width="5.42578125" style="24" bestFit="1" customWidth="1"/>
    <col min="8463" max="8463" width="12.140625" style="24" bestFit="1" customWidth="1"/>
    <col min="8464" max="8464" width="7.28515625" style="24" bestFit="1" customWidth="1"/>
    <col min="8465" max="8465" width="12.85546875" style="24" bestFit="1" customWidth="1"/>
    <col min="8466" max="8466" width="11" style="24" bestFit="1" customWidth="1"/>
    <col min="8467" max="8467" width="11.5703125" style="24" bestFit="1" customWidth="1"/>
    <col min="8468" max="8472" width="9.140625" style="24"/>
    <col min="8473" max="8473" width="9.28515625" style="24" bestFit="1" customWidth="1"/>
    <col min="8474" max="8476" width="11.140625" style="24" customWidth="1"/>
    <col min="8477" max="8477" width="13.7109375" style="24" customWidth="1"/>
    <col min="8478" max="8705" width="9.140625" style="24"/>
    <col min="8706" max="8706" width="2.28515625" style="24" customWidth="1"/>
    <col min="8707" max="8707" width="20" style="24" customWidth="1"/>
    <col min="8708" max="8708" width="29.140625" style="24" bestFit="1" customWidth="1"/>
    <col min="8709" max="8709" width="11.85546875" style="24" bestFit="1" customWidth="1"/>
    <col min="8710" max="8710" width="4.5703125" style="24" bestFit="1" customWidth="1"/>
    <col min="8711" max="8711" width="10.140625" style="24" bestFit="1" customWidth="1"/>
    <col min="8712" max="8712" width="12.85546875" style="24" bestFit="1" customWidth="1"/>
    <col min="8713" max="8713" width="16.42578125" style="24" bestFit="1" customWidth="1"/>
    <col min="8714" max="8714" width="11" style="24" bestFit="1" customWidth="1"/>
    <col min="8715" max="8715" width="13.42578125" style="24" bestFit="1" customWidth="1"/>
    <col min="8716" max="8716" width="9.28515625" style="24" bestFit="1" customWidth="1"/>
    <col min="8717" max="8717" width="10.140625" style="24" bestFit="1" customWidth="1"/>
    <col min="8718" max="8718" width="5.42578125" style="24" bestFit="1" customWidth="1"/>
    <col min="8719" max="8719" width="12.140625" style="24" bestFit="1" customWidth="1"/>
    <col min="8720" max="8720" width="7.28515625" style="24" bestFit="1" customWidth="1"/>
    <col min="8721" max="8721" width="12.85546875" style="24" bestFit="1" customWidth="1"/>
    <col min="8722" max="8722" width="11" style="24" bestFit="1" customWidth="1"/>
    <col min="8723" max="8723" width="11.5703125" style="24" bestFit="1" customWidth="1"/>
    <col min="8724" max="8728" width="9.140625" style="24"/>
    <col min="8729" max="8729" width="9.28515625" style="24" bestFit="1" customWidth="1"/>
    <col min="8730" max="8732" width="11.140625" style="24" customWidth="1"/>
    <col min="8733" max="8733" width="13.7109375" style="24" customWidth="1"/>
    <col min="8734" max="8961" width="9.140625" style="24"/>
    <col min="8962" max="8962" width="2.28515625" style="24" customWidth="1"/>
    <col min="8963" max="8963" width="20" style="24" customWidth="1"/>
    <col min="8964" max="8964" width="29.140625" style="24" bestFit="1" customWidth="1"/>
    <col min="8965" max="8965" width="11.85546875" style="24" bestFit="1" customWidth="1"/>
    <col min="8966" max="8966" width="4.5703125" style="24" bestFit="1" customWidth="1"/>
    <col min="8967" max="8967" width="10.140625" style="24" bestFit="1" customWidth="1"/>
    <col min="8968" max="8968" width="12.85546875" style="24" bestFit="1" customWidth="1"/>
    <col min="8969" max="8969" width="16.42578125" style="24" bestFit="1" customWidth="1"/>
    <col min="8970" max="8970" width="11" style="24" bestFit="1" customWidth="1"/>
    <col min="8971" max="8971" width="13.42578125" style="24" bestFit="1" customWidth="1"/>
    <col min="8972" max="8972" width="9.28515625" style="24" bestFit="1" customWidth="1"/>
    <col min="8973" max="8973" width="10.140625" style="24" bestFit="1" customWidth="1"/>
    <col min="8974" max="8974" width="5.42578125" style="24" bestFit="1" customWidth="1"/>
    <col min="8975" max="8975" width="12.140625" style="24" bestFit="1" customWidth="1"/>
    <col min="8976" max="8976" width="7.28515625" style="24" bestFit="1" customWidth="1"/>
    <col min="8977" max="8977" width="12.85546875" style="24" bestFit="1" customWidth="1"/>
    <col min="8978" max="8978" width="11" style="24" bestFit="1" customWidth="1"/>
    <col min="8979" max="8979" width="11.5703125" style="24" bestFit="1" customWidth="1"/>
    <col min="8980" max="8984" width="9.140625" style="24"/>
    <col min="8985" max="8985" width="9.28515625" style="24" bestFit="1" customWidth="1"/>
    <col min="8986" max="8988" width="11.140625" style="24" customWidth="1"/>
    <col min="8989" max="8989" width="13.7109375" style="24" customWidth="1"/>
    <col min="8990" max="9217" width="9.140625" style="24"/>
    <col min="9218" max="9218" width="2.28515625" style="24" customWidth="1"/>
    <col min="9219" max="9219" width="20" style="24" customWidth="1"/>
    <col min="9220" max="9220" width="29.140625" style="24" bestFit="1" customWidth="1"/>
    <col min="9221" max="9221" width="11.85546875" style="24" bestFit="1" customWidth="1"/>
    <col min="9222" max="9222" width="4.5703125" style="24" bestFit="1" customWidth="1"/>
    <col min="9223" max="9223" width="10.140625" style="24" bestFit="1" customWidth="1"/>
    <col min="9224" max="9224" width="12.85546875" style="24" bestFit="1" customWidth="1"/>
    <col min="9225" max="9225" width="16.42578125" style="24" bestFit="1" customWidth="1"/>
    <col min="9226" max="9226" width="11" style="24" bestFit="1" customWidth="1"/>
    <col min="9227" max="9227" width="13.42578125" style="24" bestFit="1" customWidth="1"/>
    <col min="9228" max="9228" width="9.28515625" style="24" bestFit="1" customWidth="1"/>
    <col min="9229" max="9229" width="10.140625" style="24" bestFit="1" customWidth="1"/>
    <col min="9230" max="9230" width="5.42578125" style="24" bestFit="1" customWidth="1"/>
    <col min="9231" max="9231" width="12.140625" style="24" bestFit="1" customWidth="1"/>
    <col min="9232" max="9232" width="7.28515625" style="24" bestFit="1" customWidth="1"/>
    <col min="9233" max="9233" width="12.85546875" style="24" bestFit="1" customWidth="1"/>
    <col min="9234" max="9234" width="11" style="24" bestFit="1" customWidth="1"/>
    <col min="9235" max="9235" width="11.5703125" style="24" bestFit="1" customWidth="1"/>
    <col min="9236" max="9240" width="9.140625" style="24"/>
    <col min="9241" max="9241" width="9.28515625" style="24" bestFit="1" customWidth="1"/>
    <col min="9242" max="9244" width="11.140625" style="24" customWidth="1"/>
    <col min="9245" max="9245" width="13.7109375" style="24" customWidth="1"/>
    <col min="9246" max="9473" width="9.140625" style="24"/>
    <col min="9474" max="9474" width="2.28515625" style="24" customWidth="1"/>
    <col min="9475" max="9475" width="20" style="24" customWidth="1"/>
    <col min="9476" max="9476" width="29.140625" style="24" bestFit="1" customWidth="1"/>
    <col min="9477" max="9477" width="11.85546875" style="24" bestFit="1" customWidth="1"/>
    <col min="9478" max="9478" width="4.5703125" style="24" bestFit="1" customWidth="1"/>
    <col min="9479" max="9479" width="10.140625" style="24" bestFit="1" customWidth="1"/>
    <col min="9480" max="9480" width="12.85546875" style="24" bestFit="1" customWidth="1"/>
    <col min="9481" max="9481" width="16.42578125" style="24" bestFit="1" customWidth="1"/>
    <col min="9482" max="9482" width="11" style="24" bestFit="1" customWidth="1"/>
    <col min="9483" max="9483" width="13.42578125" style="24" bestFit="1" customWidth="1"/>
    <col min="9484" max="9484" width="9.28515625" style="24" bestFit="1" customWidth="1"/>
    <col min="9485" max="9485" width="10.140625" style="24" bestFit="1" customWidth="1"/>
    <col min="9486" max="9486" width="5.42578125" style="24" bestFit="1" customWidth="1"/>
    <col min="9487" max="9487" width="12.140625" style="24" bestFit="1" customWidth="1"/>
    <col min="9488" max="9488" width="7.28515625" style="24" bestFit="1" customWidth="1"/>
    <col min="9489" max="9489" width="12.85546875" style="24" bestFit="1" customWidth="1"/>
    <col min="9490" max="9490" width="11" style="24" bestFit="1" customWidth="1"/>
    <col min="9491" max="9491" width="11.5703125" style="24" bestFit="1" customWidth="1"/>
    <col min="9492" max="9496" width="9.140625" style="24"/>
    <col min="9497" max="9497" width="9.28515625" style="24" bestFit="1" customWidth="1"/>
    <col min="9498" max="9500" width="11.140625" style="24" customWidth="1"/>
    <col min="9501" max="9501" width="13.7109375" style="24" customWidth="1"/>
    <col min="9502" max="9729" width="9.140625" style="24"/>
    <col min="9730" max="9730" width="2.28515625" style="24" customWidth="1"/>
    <col min="9731" max="9731" width="20" style="24" customWidth="1"/>
    <col min="9732" max="9732" width="29.140625" style="24" bestFit="1" customWidth="1"/>
    <col min="9733" max="9733" width="11.85546875" style="24" bestFit="1" customWidth="1"/>
    <col min="9734" max="9734" width="4.5703125" style="24" bestFit="1" customWidth="1"/>
    <col min="9735" max="9735" width="10.140625" style="24" bestFit="1" customWidth="1"/>
    <col min="9736" max="9736" width="12.85546875" style="24" bestFit="1" customWidth="1"/>
    <col min="9737" max="9737" width="16.42578125" style="24" bestFit="1" customWidth="1"/>
    <col min="9738" max="9738" width="11" style="24" bestFit="1" customWidth="1"/>
    <col min="9739" max="9739" width="13.42578125" style="24" bestFit="1" customWidth="1"/>
    <col min="9740" max="9740" width="9.28515625" style="24" bestFit="1" customWidth="1"/>
    <col min="9741" max="9741" width="10.140625" style="24" bestFit="1" customWidth="1"/>
    <col min="9742" max="9742" width="5.42578125" style="24" bestFit="1" customWidth="1"/>
    <col min="9743" max="9743" width="12.140625" style="24" bestFit="1" customWidth="1"/>
    <col min="9744" max="9744" width="7.28515625" style="24" bestFit="1" customWidth="1"/>
    <col min="9745" max="9745" width="12.85546875" style="24" bestFit="1" customWidth="1"/>
    <col min="9746" max="9746" width="11" style="24" bestFit="1" customWidth="1"/>
    <col min="9747" max="9747" width="11.5703125" style="24" bestFit="1" customWidth="1"/>
    <col min="9748" max="9752" width="9.140625" style="24"/>
    <col min="9753" max="9753" width="9.28515625" style="24" bestFit="1" customWidth="1"/>
    <col min="9754" max="9756" width="11.140625" style="24" customWidth="1"/>
    <col min="9757" max="9757" width="13.7109375" style="24" customWidth="1"/>
    <col min="9758" max="9985" width="9.140625" style="24"/>
    <col min="9986" max="9986" width="2.28515625" style="24" customWidth="1"/>
    <col min="9987" max="9987" width="20" style="24" customWidth="1"/>
    <col min="9988" max="9988" width="29.140625" style="24" bestFit="1" customWidth="1"/>
    <col min="9989" max="9989" width="11.85546875" style="24" bestFit="1" customWidth="1"/>
    <col min="9990" max="9990" width="4.5703125" style="24" bestFit="1" customWidth="1"/>
    <col min="9991" max="9991" width="10.140625" style="24" bestFit="1" customWidth="1"/>
    <col min="9992" max="9992" width="12.85546875" style="24" bestFit="1" customWidth="1"/>
    <col min="9993" max="9993" width="16.42578125" style="24" bestFit="1" customWidth="1"/>
    <col min="9994" max="9994" width="11" style="24" bestFit="1" customWidth="1"/>
    <col min="9995" max="9995" width="13.42578125" style="24" bestFit="1" customWidth="1"/>
    <col min="9996" max="9996" width="9.28515625" style="24" bestFit="1" customWidth="1"/>
    <col min="9997" max="9997" width="10.140625" style="24" bestFit="1" customWidth="1"/>
    <col min="9998" max="9998" width="5.42578125" style="24" bestFit="1" customWidth="1"/>
    <col min="9999" max="9999" width="12.140625" style="24" bestFit="1" customWidth="1"/>
    <col min="10000" max="10000" width="7.28515625" style="24" bestFit="1" customWidth="1"/>
    <col min="10001" max="10001" width="12.85546875" style="24" bestFit="1" customWidth="1"/>
    <col min="10002" max="10002" width="11" style="24" bestFit="1" customWidth="1"/>
    <col min="10003" max="10003" width="11.5703125" style="24" bestFit="1" customWidth="1"/>
    <col min="10004" max="10008" width="9.140625" style="24"/>
    <col min="10009" max="10009" width="9.28515625" style="24" bestFit="1" customWidth="1"/>
    <col min="10010" max="10012" width="11.140625" style="24" customWidth="1"/>
    <col min="10013" max="10013" width="13.7109375" style="24" customWidth="1"/>
    <col min="10014" max="10241" width="9.140625" style="24"/>
    <col min="10242" max="10242" width="2.28515625" style="24" customWidth="1"/>
    <col min="10243" max="10243" width="20" style="24" customWidth="1"/>
    <col min="10244" max="10244" width="29.140625" style="24" bestFit="1" customWidth="1"/>
    <col min="10245" max="10245" width="11.85546875" style="24" bestFit="1" customWidth="1"/>
    <col min="10246" max="10246" width="4.5703125" style="24" bestFit="1" customWidth="1"/>
    <col min="10247" max="10247" width="10.140625" style="24" bestFit="1" customWidth="1"/>
    <col min="10248" max="10248" width="12.85546875" style="24" bestFit="1" customWidth="1"/>
    <col min="10249" max="10249" width="16.42578125" style="24" bestFit="1" customWidth="1"/>
    <col min="10250" max="10250" width="11" style="24" bestFit="1" customWidth="1"/>
    <col min="10251" max="10251" width="13.42578125" style="24" bestFit="1" customWidth="1"/>
    <col min="10252" max="10252" width="9.28515625" style="24" bestFit="1" customWidth="1"/>
    <col min="10253" max="10253" width="10.140625" style="24" bestFit="1" customWidth="1"/>
    <col min="10254" max="10254" width="5.42578125" style="24" bestFit="1" customWidth="1"/>
    <col min="10255" max="10255" width="12.140625" style="24" bestFit="1" customWidth="1"/>
    <col min="10256" max="10256" width="7.28515625" style="24" bestFit="1" customWidth="1"/>
    <col min="10257" max="10257" width="12.85546875" style="24" bestFit="1" customWidth="1"/>
    <col min="10258" max="10258" width="11" style="24" bestFit="1" customWidth="1"/>
    <col min="10259" max="10259" width="11.5703125" style="24" bestFit="1" customWidth="1"/>
    <col min="10260" max="10264" width="9.140625" style="24"/>
    <col min="10265" max="10265" width="9.28515625" style="24" bestFit="1" customWidth="1"/>
    <col min="10266" max="10268" width="11.140625" style="24" customWidth="1"/>
    <col min="10269" max="10269" width="13.7109375" style="24" customWidth="1"/>
    <col min="10270" max="10497" width="9.140625" style="24"/>
    <col min="10498" max="10498" width="2.28515625" style="24" customWidth="1"/>
    <col min="10499" max="10499" width="20" style="24" customWidth="1"/>
    <col min="10500" max="10500" width="29.140625" style="24" bestFit="1" customWidth="1"/>
    <col min="10501" max="10501" width="11.85546875" style="24" bestFit="1" customWidth="1"/>
    <col min="10502" max="10502" width="4.5703125" style="24" bestFit="1" customWidth="1"/>
    <col min="10503" max="10503" width="10.140625" style="24" bestFit="1" customWidth="1"/>
    <col min="10504" max="10504" width="12.85546875" style="24" bestFit="1" customWidth="1"/>
    <col min="10505" max="10505" width="16.42578125" style="24" bestFit="1" customWidth="1"/>
    <col min="10506" max="10506" width="11" style="24" bestFit="1" customWidth="1"/>
    <col min="10507" max="10507" width="13.42578125" style="24" bestFit="1" customWidth="1"/>
    <col min="10508" max="10508" width="9.28515625" style="24" bestFit="1" customWidth="1"/>
    <col min="10509" max="10509" width="10.140625" style="24" bestFit="1" customWidth="1"/>
    <col min="10510" max="10510" width="5.42578125" style="24" bestFit="1" customWidth="1"/>
    <col min="10511" max="10511" width="12.140625" style="24" bestFit="1" customWidth="1"/>
    <col min="10512" max="10512" width="7.28515625" style="24" bestFit="1" customWidth="1"/>
    <col min="10513" max="10513" width="12.85546875" style="24" bestFit="1" customWidth="1"/>
    <col min="10514" max="10514" width="11" style="24" bestFit="1" customWidth="1"/>
    <col min="10515" max="10515" width="11.5703125" style="24" bestFit="1" customWidth="1"/>
    <col min="10516" max="10520" width="9.140625" style="24"/>
    <col min="10521" max="10521" width="9.28515625" style="24" bestFit="1" customWidth="1"/>
    <col min="10522" max="10524" width="11.140625" style="24" customWidth="1"/>
    <col min="10525" max="10525" width="13.7109375" style="24" customWidth="1"/>
    <col min="10526" max="10753" width="9.140625" style="24"/>
    <col min="10754" max="10754" width="2.28515625" style="24" customWidth="1"/>
    <col min="10755" max="10755" width="20" style="24" customWidth="1"/>
    <col min="10756" max="10756" width="29.140625" style="24" bestFit="1" customWidth="1"/>
    <col min="10757" max="10757" width="11.85546875" style="24" bestFit="1" customWidth="1"/>
    <col min="10758" max="10758" width="4.5703125" style="24" bestFit="1" customWidth="1"/>
    <col min="10759" max="10759" width="10.140625" style="24" bestFit="1" customWidth="1"/>
    <col min="10760" max="10760" width="12.85546875" style="24" bestFit="1" customWidth="1"/>
    <col min="10761" max="10761" width="16.42578125" style="24" bestFit="1" customWidth="1"/>
    <col min="10762" max="10762" width="11" style="24" bestFit="1" customWidth="1"/>
    <col min="10763" max="10763" width="13.42578125" style="24" bestFit="1" customWidth="1"/>
    <col min="10764" max="10764" width="9.28515625" style="24" bestFit="1" customWidth="1"/>
    <col min="10765" max="10765" width="10.140625" style="24" bestFit="1" customWidth="1"/>
    <col min="10766" max="10766" width="5.42578125" style="24" bestFit="1" customWidth="1"/>
    <col min="10767" max="10767" width="12.140625" style="24" bestFit="1" customWidth="1"/>
    <col min="10768" max="10768" width="7.28515625" style="24" bestFit="1" customWidth="1"/>
    <col min="10769" max="10769" width="12.85546875" style="24" bestFit="1" customWidth="1"/>
    <col min="10770" max="10770" width="11" style="24" bestFit="1" customWidth="1"/>
    <col min="10771" max="10771" width="11.5703125" style="24" bestFit="1" customWidth="1"/>
    <col min="10772" max="10776" width="9.140625" style="24"/>
    <col min="10777" max="10777" width="9.28515625" style="24" bestFit="1" customWidth="1"/>
    <col min="10778" max="10780" width="11.140625" style="24" customWidth="1"/>
    <col min="10781" max="10781" width="13.7109375" style="24" customWidth="1"/>
    <col min="10782" max="11009" width="9.140625" style="24"/>
    <col min="11010" max="11010" width="2.28515625" style="24" customWidth="1"/>
    <col min="11011" max="11011" width="20" style="24" customWidth="1"/>
    <col min="11012" max="11012" width="29.140625" style="24" bestFit="1" customWidth="1"/>
    <col min="11013" max="11013" width="11.85546875" style="24" bestFit="1" customWidth="1"/>
    <col min="11014" max="11014" width="4.5703125" style="24" bestFit="1" customWidth="1"/>
    <col min="11015" max="11015" width="10.140625" style="24" bestFit="1" customWidth="1"/>
    <col min="11016" max="11016" width="12.85546875" style="24" bestFit="1" customWidth="1"/>
    <col min="11017" max="11017" width="16.42578125" style="24" bestFit="1" customWidth="1"/>
    <col min="11018" max="11018" width="11" style="24" bestFit="1" customWidth="1"/>
    <col min="11019" max="11019" width="13.42578125" style="24" bestFit="1" customWidth="1"/>
    <col min="11020" max="11020" width="9.28515625" style="24" bestFit="1" customWidth="1"/>
    <col min="11021" max="11021" width="10.140625" style="24" bestFit="1" customWidth="1"/>
    <col min="11022" max="11022" width="5.42578125" style="24" bestFit="1" customWidth="1"/>
    <col min="11023" max="11023" width="12.140625" style="24" bestFit="1" customWidth="1"/>
    <col min="11024" max="11024" width="7.28515625" style="24" bestFit="1" customWidth="1"/>
    <col min="11025" max="11025" width="12.85546875" style="24" bestFit="1" customWidth="1"/>
    <col min="11026" max="11026" width="11" style="24" bestFit="1" customWidth="1"/>
    <col min="11027" max="11027" width="11.5703125" style="24" bestFit="1" customWidth="1"/>
    <col min="11028" max="11032" width="9.140625" style="24"/>
    <col min="11033" max="11033" width="9.28515625" style="24" bestFit="1" customWidth="1"/>
    <col min="11034" max="11036" width="11.140625" style="24" customWidth="1"/>
    <col min="11037" max="11037" width="13.7109375" style="24" customWidth="1"/>
    <col min="11038" max="11265" width="9.140625" style="24"/>
    <col min="11266" max="11266" width="2.28515625" style="24" customWidth="1"/>
    <col min="11267" max="11267" width="20" style="24" customWidth="1"/>
    <col min="11268" max="11268" width="29.140625" style="24" bestFit="1" customWidth="1"/>
    <col min="11269" max="11269" width="11.85546875" style="24" bestFit="1" customWidth="1"/>
    <col min="11270" max="11270" width="4.5703125" style="24" bestFit="1" customWidth="1"/>
    <col min="11271" max="11271" width="10.140625" style="24" bestFit="1" customWidth="1"/>
    <col min="11272" max="11272" width="12.85546875" style="24" bestFit="1" customWidth="1"/>
    <col min="11273" max="11273" width="16.42578125" style="24" bestFit="1" customWidth="1"/>
    <col min="11274" max="11274" width="11" style="24" bestFit="1" customWidth="1"/>
    <col min="11275" max="11275" width="13.42578125" style="24" bestFit="1" customWidth="1"/>
    <col min="11276" max="11276" width="9.28515625" style="24" bestFit="1" customWidth="1"/>
    <col min="11277" max="11277" width="10.140625" style="24" bestFit="1" customWidth="1"/>
    <col min="11278" max="11278" width="5.42578125" style="24" bestFit="1" customWidth="1"/>
    <col min="11279" max="11279" width="12.140625" style="24" bestFit="1" customWidth="1"/>
    <col min="11280" max="11280" width="7.28515625" style="24" bestFit="1" customWidth="1"/>
    <col min="11281" max="11281" width="12.85546875" style="24" bestFit="1" customWidth="1"/>
    <col min="11282" max="11282" width="11" style="24" bestFit="1" customWidth="1"/>
    <col min="11283" max="11283" width="11.5703125" style="24" bestFit="1" customWidth="1"/>
    <col min="11284" max="11288" width="9.140625" style="24"/>
    <col min="11289" max="11289" width="9.28515625" style="24" bestFit="1" customWidth="1"/>
    <col min="11290" max="11292" width="11.140625" style="24" customWidth="1"/>
    <col min="11293" max="11293" width="13.7109375" style="24" customWidth="1"/>
    <col min="11294" max="11521" width="9.140625" style="24"/>
    <col min="11522" max="11522" width="2.28515625" style="24" customWidth="1"/>
    <col min="11523" max="11523" width="20" style="24" customWidth="1"/>
    <col min="11524" max="11524" width="29.140625" style="24" bestFit="1" customWidth="1"/>
    <col min="11525" max="11525" width="11.85546875" style="24" bestFit="1" customWidth="1"/>
    <col min="11526" max="11526" width="4.5703125" style="24" bestFit="1" customWidth="1"/>
    <col min="11527" max="11527" width="10.140625" style="24" bestFit="1" customWidth="1"/>
    <col min="11528" max="11528" width="12.85546875" style="24" bestFit="1" customWidth="1"/>
    <col min="11529" max="11529" width="16.42578125" style="24" bestFit="1" customWidth="1"/>
    <col min="11530" max="11530" width="11" style="24" bestFit="1" customWidth="1"/>
    <col min="11531" max="11531" width="13.42578125" style="24" bestFit="1" customWidth="1"/>
    <col min="11532" max="11532" width="9.28515625" style="24" bestFit="1" customWidth="1"/>
    <col min="11533" max="11533" width="10.140625" style="24" bestFit="1" customWidth="1"/>
    <col min="11534" max="11534" width="5.42578125" style="24" bestFit="1" customWidth="1"/>
    <col min="11535" max="11535" width="12.140625" style="24" bestFit="1" customWidth="1"/>
    <col min="11536" max="11536" width="7.28515625" style="24" bestFit="1" customWidth="1"/>
    <col min="11537" max="11537" width="12.85546875" style="24" bestFit="1" customWidth="1"/>
    <col min="11538" max="11538" width="11" style="24" bestFit="1" customWidth="1"/>
    <col min="11539" max="11539" width="11.5703125" style="24" bestFit="1" customWidth="1"/>
    <col min="11540" max="11544" width="9.140625" style="24"/>
    <col min="11545" max="11545" width="9.28515625" style="24" bestFit="1" customWidth="1"/>
    <col min="11546" max="11548" width="11.140625" style="24" customWidth="1"/>
    <col min="11549" max="11549" width="13.7109375" style="24" customWidth="1"/>
    <col min="11550" max="11777" width="9.140625" style="24"/>
    <col min="11778" max="11778" width="2.28515625" style="24" customWidth="1"/>
    <col min="11779" max="11779" width="20" style="24" customWidth="1"/>
    <col min="11780" max="11780" width="29.140625" style="24" bestFit="1" customWidth="1"/>
    <col min="11781" max="11781" width="11.85546875" style="24" bestFit="1" customWidth="1"/>
    <col min="11782" max="11782" width="4.5703125" style="24" bestFit="1" customWidth="1"/>
    <col min="11783" max="11783" width="10.140625" style="24" bestFit="1" customWidth="1"/>
    <col min="11784" max="11784" width="12.85546875" style="24" bestFit="1" customWidth="1"/>
    <col min="11785" max="11785" width="16.42578125" style="24" bestFit="1" customWidth="1"/>
    <col min="11786" max="11786" width="11" style="24" bestFit="1" customWidth="1"/>
    <col min="11787" max="11787" width="13.42578125" style="24" bestFit="1" customWidth="1"/>
    <col min="11788" max="11788" width="9.28515625" style="24" bestFit="1" customWidth="1"/>
    <col min="11789" max="11789" width="10.140625" style="24" bestFit="1" customWidth="1"/>
    <col min="11790" max="11790" width="5.42578125" style="24" bestFit="1" customWidth="1"/>
    <col min="11791" max="11791" width="12.140625" style="24" bestFit="1" customWidth="1"/>
    <col min="11792" max="11792" width="7.28515625" style="24" bestFit="1" customWidth="1"/>
    <col min="11793" max="11793" width="12.85546875" style="24" bestFit="1" customWidth="1"/>
    <col min="11794" max="11794" width="11" style="24" bestFit="1" customWidth="1"/>
    <col min="11795" max="11795" width="11.5703125" style="24" bestFit="1" customWidth="1"/>
    <col min="11796" max="11800" width="9.140625" style="24"/>
    <col min="11801" max="11801" width="9.28515625" style="24" bestFit="1" customWidth="1"/>
    <col min="11802" max="11804" width="11.140625" style="24" customWidth="1"/>
    <col min="11805" max="11805" width="13.7109375" style="24" customWidth="1"/>
    <col min="11806" max="12033" width="9.140625" style="24"/>
    <col min="12034" max="12034" width="2.28515625" style="24" customWidth="1"/>
    <col min="12035" max="12035" width="20" style="24" customWidth="1"/>
    <col min="12036" max="12036" width="29.140625" style="24" bestFit="1" customWidth="1"/>
    <col min="12037" max="12037" width="11.85546875" style="24" bestFit="1" customWidth="1"/>
    <col min="12038" max="12038" width="4.5703125" style="24" bestFit="1" customWidth="1"/>
    <col min="12039" max="12039" width="10.140625" style="24" bestFit="1" customWidth="1"/>
    <col min="12040" max="12040" width="12.85546875" style="24" bestFit="1" customWidth="1"/>
    <col min="12041" max="12041" width="16.42578125" style="24" bestFit="1" customWidth="1"/>
    <col min="12042" max="12042" width="11" style="24" bestFit="1" customWidth="1"/>
    <col min="12043" max="12043" width="13.42578125" style="24" bestFit="1" customWidth="1"/>
    <col min="12044" max="12044" width="9.28515625" style="24" bestFit="1" customWidth="1"/>
    <col min="12045" max="12045" width="10.140625" style="24" bestFit="1" customWidth="1"/>
    <col min="12046" max="12046" width="5.42578125" style="24" bestFit="1" customWidth="1"/>
    <col min="12047" max="12047" width="12.140625" style="24" bestFit="1" customWidth="1"/>
    <col min="12048" max="12048" width="7.28515625" style="24" bestFit="1" customWidth="1"/>
    <col min="12049" max="12049" width="12.85546875" style="24" bestFit="1" customWidth="1"/>
    <col min="12050" max="12050" width="11" style="24" bestFit="1" customWidth="1"/>
    <col min="12051" max="12051" width="11.5703125" style="24" bestFit="1" customWidth="1"/>
    <col min="12052" max="12056" width="9.140625" style="24"/>
    <col min="12057" max="12057" width="9.28515625" style="24" bestFit="1" customWidth="1"/>
    <col min="12058" max="12060" width="11.140625" style="24" customWidth="1"/>
    <col min="12061" max="12061" width="13.7109375" style="24" customWidth="1"/>
    <col min="12062" max="12289" width="9.140625" style="24"/>
    <col min="12290" max="12290" width="2.28515625" style="24" customWidth="1"/>
    <col min="12291" max="12291" width="20" style="24" customWidth="1"/>
    <col min="12292" max="12292" width="29.140625" style="24" bestFit="1" customWidth="1"/>
    <col min="12293" max="12293" width="11.85546875" style="24" bestFit="1" customWidth="1"/>
    <col min="12294" max="12294" width="4.5703125" style="24" bestFit="1" customWidth="1"/>
    <col min="12295" max="12295" width="10.140625" style="24" bestFit="1" customWidth="1"/>
    <col min="12296" max="12296" width="12.85546875" style="24" bestFit="1" customWidth="1"/>
    <col min="12297" max="12297" width="16.42578125" style="24" bestFit="1" customWidth="1"/>
    <col min="12298" max="12298" width="11" style="24" bestFit="1" customWidth="1"/>
    <col min="12299" max="12299" width="13.42578125" style="24" bestFit="1" customWidth="1"/>
    <col min="12300" max="12300" width="9.28515625" style="24" bestFit="1" customWidth="1"/>
    <col min="12301" max="12301" width="10.140625" style="24" bestFit="1" customWidth="1"/>
    <col min="12302" max="12302" width="5.42578125" style="24" bestFit="1" customWidth="1"/>
    <col min="12303" max="12303" width="12.140625" style="24" bestFit="1" customWidth="1"/>
    <col min="12304" max="12304" width="7.28515625" style="24" bestFit="1" customWidth="1"/>
    <col min="12305" max="12305" width="12.85546875" style="24" bestFit="1" customWidth="1"/>
    <col min="12306" max="12306" width="11" style="24" bestFit="1" customWidth="1"/>
    <col min="12307" max="12307" width="11.5703125" style="24" bestFit="1" customWidth="1"/>
    <col min="12308" max="12312" width="9.140625" style="24"/>
    <col min="12313" max="12313" width="9.28515625" style="24" bestFit="1" customWidth="1"/>
    <col min="12314" max="12316" width="11.140625" style="24" customWidth="1"/>
    <col min="12317" max="12317" width="13.7109375" style="24" customWidth="1"/>
    <col min="12318" max="12545" width="9.140625" style="24"/>
    <col min="12546" max="12546" width="2.28515625" style="24" customWidth="1"/>
    <col min="12547" max="12547" width="20" style="24" customWidth="1"/>
    <col min="12548" max="12548" width="29.140625" style="24" bestFit="1" customWidth="1"/>
    <col min="12549" max="12549" width="11.85546875" style="24" bestFit="1" customWidth="1"/>
    <col min="12550" max="12550" width="4.5703125" style="24" bestFit="1" customWidth="1"/>
    <col min="12551" max="12551" width="10.140625" style="24" bestFit="1" customWidth="1"/>
    <col min="12552" max="12552" width="12.85546875" style="24" bestFit="1" customWidth="1"/>
    <col min="12553" max="12553" width="16.42578125" style="24" bestFit="1" customWidth="1"/>
    <col min="12554" max="12554" width="11" style="24" bestFit="1" customWidth="1"/>
    <col min="12555" max="12555" width="13.42578125" style="24" bestFit="1" customWidth="1"/>
    <col min="12556" max="12556" width="9.28515625" style="24" bestFit="1" customWidth="1"/>
    <col min="12557" max="12557" width="10.140625" style="24" bestFit="1" customWidth="1"/>
    <col min="12558" max="12558" width="5.42578125" style="24" bestFit="1" customWidth="1"/>
    <col min="12559" max="12559" width="12.140625" style="24" bestFit="1" customWidth="1"/>
    <col min="12560" max="12560" width="7.28515625" style="24" bestFit="1" customWidth="1"/>
    <col min="12561" max="12561" width="12.85546875" style="24" bestFit="1" customWidth="1"/>
    <col min="12562" max="12562" width="11" style="24" bestFit="1" customWidth="1"/>
    <col min="12563" max="12563" width="11.5703125" style="24" bestFit="1" customWidth="1"/>
    <col min="12564" max="12568" width="9.140625" style="24"/>
    <col min="12569" max="12569" width="9.28515625" style="24" bestFit="1" customWidth="1"/>
    <col min="12570" max="12572" width="11.140625" style="24" customWidth="1"/>
    <col min="12573" max="12573" width="13.7109375" style="24" customWidth="1"/>
    <col min="12574" max="12801" width="9.140625" style="24"/>
    <col min="12802" max="12802" width="2.28515625" style="24" customWidth="1"/>
    <col min="12803" max="12803" width="20" style="24" customWidth="1"/>
    <col min="12804" max="12804" width="29.140625" style="24" bestFit="1" customWidth="1"/>
    <col min="12805" max="12805" width="11.85546875" style="24" bestFit="1" customWidth="1"/>
    <col min="12806" max="12806" width="4.5703125" style="24" bestFit="1" customWidth="1"/>
    <col min="12807" max="12807" width="10.140625" style="24" bestFit="1" customWidth="1"/>
    <col min="12808" max="12808" width="12.85546875" style="24" bestFit="1" customWidth="1"/>
    <col min="12809" max="12809" width="16.42578125" style="24" bestFit="1" customWidth="1"/>
    <col min="12810" max="12810" width="11" style="24" bestFit="1" customWidth="1"/>
    <col min="12811" max="12811" width="13.42578125" style="24" bestFit="1" customWidth="1"/>
    <col min="12812" max="12812" width="9.28515625" style="24" bestFit="1" customWidth="1"/>
    <col min="12813" max="12813" width="10.140625" style="24" bestFit="1" customWidth="1"/>
    <col min="12814" max="12814" width="5.42578125" style="24" bestFit="1" customWidth="1"/>
    <col min="12815" max="12815" width="12.140625" style="24" bestFit="1" customWidth="1"/>
    <col min="12816" max="12816" width="7.28515625" style="24" bestFit="1" customWidth="1"/>
    <col min="12817" max="12817" width="12.85546875" style="24" bestFit="1" customWidth="1"/>
    <col min="12818" max="12818" width="11" style="24" bestFit="1" customWidth="1"/>
    <col min="12819" max="12819" width="11.5703125" style="24" bestFit="1" customWidth="1"/>
    <col min="12820" max="12824" width="9.140625" style="24"/>
    <col min="12825" max="12825" width="9.28515625" style="24" bestFit="1" customWidth="1"/>
    <col min="12826" max="12828" width="11.140625" style="24" customWidth="1"/>
    <col min="12829" max="12829" width="13.7109375" style="24" customWidth="1"/>
    <col min="12830" max="13057" width="9.140625" style="24"/>
    <col min="13058" max="13058" width="2.28515625" style="24" customWidth="1"/>
    <col min="13059" max="13059" width="20" style="24" customWidth="1"/>
    <col min="13060" max="13060" width="29.140625" style="24" bestFit="1" customWidth="1"/>
    <col min="13061" max="13061" width="11.85546875" style="24" bestFit="1" customWidth="1"/>
    <col min="13062" max="13062" width="4.5703125" style="24" bestFit="1" customWidth="1"/>
    <col min="13063" max="13063" width="10.140625" style="24" bestFit="1" customWidth="1"/>
    <col min="13064" max="13064" width="12.85546875" style="24" bestFit="1" customWidth="1"/>
    <col min="13065" max="13065" width="16.42578125" style="24" bestFit="1" customWidth="1"/>
    <col min="13066" max="13066" width="11" style="24" bestFit="1" customWidth="1"/>
    <col min="13067" max="13067" width="13.42578125" style="24" bestFit="1" customWidth="1"/>
    <col min="13068" max="13068" width="9.28515625" style="24" bestFit="1" customWidth="1"/>
    <col min="13069" max="13069" width="10.140625" style="24" bestFit="1" customWidth="1"/>
    <col min="13070" max="13070" width="5.42578125" style="24" bestFit="1" customWidth="1"/>
    <col min="13071" max="13071" width="12.140625" style="24" bestFit="1" customWidth="1"/>
    <col min="13072" max="13072" width="7.28515625" style="24" bestFit="1" customWidth="1"/>
    <col min="13073" max="13073" width="12.85546875" style="24" bestFit="1" customWidth="1"/>
    <col min="13074" max="13074" width="11" style="24" bestFit="1" customWidth="1"/>
    <col min="13075" max="13075" width="11.5703125" style="24" bestFit="1" customWidth="1"/>
    <col min="13076" max="13080" width="9.140625" style="24"/>
    <col min="13081" max="13081" width="9.28515625" style="24" bestFit="1" customWidth="1"/>
    <col min="13082" max="13084" width="11.140625" style="24" customWidth="1"/>
    <col min="13085" max="13085" width="13.7109375" style="24" customWidth="1"/>
    <col min="13086" max="13313" width="9.140625" style="24"/>
    <col min="13314" max="13314" width="2.28515625" style="24" customWidth="1"/>
    <col min="13315" max="13315" width="20" style="24" customWidth="1"/>
    <col min="13316" max="13316" width="29.140625" style="24" bestFit="1" customWidth="1"/>
    <col min="13317" max="13317" width="11.85546875" style="24" bestFit="1" customWidth="1"/>
    <col min="13318" max="13318" width="4.5703125" style="24" bestFit="1" customWidth="1"/>
    <col min="13319" max="13319" width="10.140625" style="24" bestFit="1" customWidth="1"/>
    <col min="13320" max="13320" width="12.85546875" style="24" bestFit="1" customWidth="1"/>
    <col min="13321" max="13321" width="16.42578125" style="24" bestFit="1" customWidth="1"/>
    <col min="13322" max="13322" width="11" style="24" bestFit="1" customWidth="1"/>
    <col min="13323" max="13323" width="13.42578125" style="24" bestFit="1" customWidth="1"/>
    <col min="13324" max="13324" width="9.28515625" style="24" bestFit="1" customWidth="1"/>
    <col min="13325" max="13325" width="10.140625" style="24" bestFit="1" customWidth="1"/>
    <col min="13326" max="13326" width="5.42578125" style="24" bestFit="1" customWidth="1"/>
    <col min="13327" max="13327" width="12.140625" style="24" bestFit="1" customWidth="1"/>
    <col min="13328" max="13328" width="7.28515625" style="24" bestFit="1" customWidth="1"/>
    <col min="13329" max="13329" width="12.85546875" style="24" bestFit="1" customWidth="1"/>
    <col min="13330" max="13330" width="11" style="24" bestFit="1" customWidth="1"/>
    <col min="13331" max="13331" width="11.5703125" style="24" bestFit="1" customWidth="1"/>
    <col min="13332" max="13336" width="9.140625" style="24"/>
    <col min="13337" max="13337" width="9.28515625" style="24" bestFit="1" customWidth="1"/>
    <col min="13338" max="13340" width="11.140625" style="24" customWidth="1"/>
    <col min="13341" max="13341" width="13.7109375" style="24" customWidth="1"/>
    <col min="13342" max="13569" width="9.140625" style="24"/>
    <col min="13570" max="13570" width="2.28515625" style="24" customWidth="1"/>
    <col min="13571" max="13571" width="20" style="24" customWidth="1"/>
    <col min="13572" max="13572" width="29.140625" style="24" bestFit="1" customWidth="1"/>
    <col min="13573" max="13573" width="11.85546875" style="24" bestFit="1" customWidth="1"/>
    <col min="13574" max="13574" width="4.5703125" style="24" bestFit="1" customWidth="1"/>
    <col min="13575" max="13575" width="10.140625" style="24" bestFit="1" customWidth="1"/>
    <col min="13576" max="13576" width="12.85546875" style="24" bestFit="1" customWidth="1"/>
    <col min="13577" max="13577" width="16.42578125" style="24" bestFit="1" customWidth="1"/>
    <col min="13578" max="13578" width="11" style="24" bestFit="1" customWidth="1"/>
    <col min="13579" max="13579" width="13.42578125" style="24" bestFit="1" customWidth="1"/>
    <col min="13580" max="13580" width="9.28515625" style="24" bestFit="1" customWidth="1"/>
    <col min="13581" max="13581" width="10.140625" style="24" bestFit="1" customWidth="1"/>
    <col min="13582" max="13582" width="5.42578125" style="24" bestFit="1" customWidth="1"/>
    <col min="13583" max="13583" width="12.140625" style="24" bestFit="1" customWidth="1"/>
    <col min="13584" max="13584" width="7.28515625" style="24" bestFit="1" customWidth="1"/>
    <col min="13585" max="13585" width="12.85546875" style="24" bestFit="1" customWidth="1"/>
    <col min="13586" max="13586" width="11" style="24" bestFit="1" customWidth="1"/>
    <col min="13587" max="13587" width="11.5703125" style="24" bestFit="1" customWidth="1"/>
    <col min="13588" max="13592" width="9.140625" style="24"/>
    <col min="13593" max="13593" width="9.28515625" style="24" bestFit="1" customWidth="1"/>
    <col min="13594" max="13596" width="11.140625" style="24" customWidth="1"/>
    <col min="13597" max="13597" width="13.7109375" style="24" customWidth="1"/>
    <col min="13598" max="13825" width="9.140625" style="24"/>
    <col min="13826" max="13826" width="2.28515625" style="24" customWidth="1"/>
    <col min="13827" max="13827" width="20" style="24" customWidth="1"/>
    <col min="13828" max="13828" width="29.140625" style="24" bestFit="1" customWidth="1"/>
    <col min="13829" max="13829" width="11.85546875" style="24" bestFit="1" customWidth="1"/>
    <col min="13830" max="13830" width="4.5703125" style="24" bestFit="1" customWidth="1"/>
    <col min="13831" max="13831" width="10.140625" style="24" bestFit="1" customWidth="1"/>
    <col min="13832" max="13832" width="12.85546875" style="24" bestFit="1" customWidth="1"/>
    <col min="13833" max="13833" width="16.42578125" style="24" bestFit="1" customWidth="1"/>
    <col min="13834" max="13834" width="11" style="24" bestFit="1" customWidth="1"/>
    <col min="13835" max="13835" width="13.42578125" style="24" bestFit="1" customWidth="1"/>
    <col min="13836" max="13836" width="9.28515625" style="24" bestFit="1" customWidth="1"/>
    <col min="13837" max="13837" width="10.140625" style="24" bestFit="1" customWidth="1"/>
    <col min="13838" max="13838" width="5.42578125" style="24" bestFit="1" customWidth="1"/>
    <col min="13839" max="13839" width="12.140625" style="24" bestFit="1" customWidth="1"/>
    <col min="13840" max="13840" width="7.28515625" style="24" bestFit="1" customWidth="1"/>
    <col min="13841" max="13841" width="12.85546875" style="24" bestFit="1" customWidth="1"/>
    <col min="13842" max="13842" width="11" style="24" bestFit="1" customWidth="1"/>
    <col min="13843" max="13843" width="11.5703125" style="24" bestFit="1" customWidth="1"/>
    <col min="13844" max="13848" width="9.140625" style="24"/>
    <col min="13849" max="13849" width="9.28515625" style="24" bestFit="1" customWidth="1"/>
    <col min="13850" max="13852" width="11.140625" style="24" customWidth="1"/>
    <col min="13853" max="13853" width="13.7109375" style="24" customWidth="1"/>
    <col min="13854" max="14081" width="9.140625" style="24"/>
    <col min="14082" max="14082" width="2.28515625" style="24" customWidth="1"/>
    <col min="14083" max="14083" width="20" style="24" customWidth="1"/>
    <col min="14084" max="14084" width="29.140625" style="24" bestFit="1" customWidth="1"/>
    <col min="14085" max="14085" width="11.85546875" style="24" bestFit="1" customWidth="1"/>
    <col min="14086" max="14086" width="4.5703125" style="24" bestFit="1" customWidth="1"/>
    <col min="14087" max="14087" width="10.140625" style="24" bestFit="1" customWidth="1"/>
    <col min="14088" max="14088" width="12.85546875" style="24" bestFit="1" customWidth="1"/>
    <col min="14089" max="14089" width="16.42578125" style="24" bestFit="1" customWidth="1"/>
    <col min="14090" max="14090" width="11" style="24" bestFit="1" customWidth="1"/>
    <col min="14091" max="14091" width="13.42578125" style="24" bestFit="1" customWidth="1"/>
    <col min="14092" max="14092" width="9.28515625" style="24" bestFit="1" customWidth="1"/>
    <col min="14093" max="14093" width="10.140625" style="24" bestFit="1" customWidth="1"/>
    <col min="14094" max="14094" width="5.42578125" style="24" bestFit="1" customWidth="1"/>
    <col min="14095" max="14095" width="12.140625" style="24" bestFit="1" customWidth="1"/>
    <col min="14096" max="14096" width="7.28515625" style="24" bestFit="1" customWidth="1"/>
    <col min="14097" max="14097" width="12.85546875" style="24" bestFit="1" customWidth="1"/>
    <col min="14098" max="14098" width="11" style="24" bestFit="1" customWidth="1"/>
    <col min="14099" max="14099" width="11.5703125" style="24" bestFit="1" customWidth="1"/>
    <col min="14100" max="14104" width="9.140625" style="24"/>
    <col min="14105" max="14105" width="9.28515625" style="24" bestFit="1" customWidth="1"/>
    <col min="14106" max="14108" width="11.140625" style="24" customWidth="1"/>
    <col min="14109" max="14109" width="13.7109375" style="24" customWidth="1"/>
    <col min="14110" max="14337" width="9.140625" style="24"/>
    <col min="14338" max="14338" width="2.28515625" style="24" customWidth="1"/>
    <col min="14339" max="14339" width="20" style="24" customWidth="1"/>
    <col min="14340" max="14340" width="29.140625" style="24" bestFit="1" customWidth="1"/>
    <col min="14341" max="14341" width="11.85546875" style="24" bestFit="1" customWidth="1"/>
    <col min="14342" max="14342" width="4.5703125" style="24" bestFit="1" customWidth="1"/>
    <col min="14343" max="14343" width="10.140625" style="24" bestFit="1" customWidth="1"/>
    <col min="14344" max="14344" width="12.85546875" style="24" bestFit="1" customWidth="1"/>
    <col min="14345" max="14345" width="16.42578125" style="24" bestFit="1" customWidth="1"/>
    <col min="14346" max="14346" width="11" style="24" bestFit="1" customWidth="1"/>
    <col min="14347" max="14347" width="13.42578125" style="24" bestFit="1" customWidth="1"/>
    <col min="14348" max="14348" width="9.28515625" style="24" bestFit="1" customWidth="1"/>
    <col min="14349" max="14349" width="10.140625" style="24" bestFit="1" customWidth="1"/>
    <col min="14350" max="14350" width="5.42578125" style="24" bestFit="1" customWidth="1"/>
    <col min="14351" max="14351" width="12.140625" style="24" bestFit="1" customWidth="1"/>
    <col min="14352" max="14352" width="7.28515625" style="24" bestFit="1" customWidth="1"/>
    <col min="14353" max="14353" width="12.85546875" style="24" bestFit="1" customWidth="1"/>
    <col min="14354" max="14354" width="11" style="24" bestFit="1" customWidth="1"/>
    <col min="14355" max="14355" width="11.5703125" style="24" bestFit="1" customWidth="1"/>
    <col min="14356" max="14360" width="9.140625" style="24"/>
    <col min="14361" max="14361" width="9.28515625" style="24" bestFit="1" customWidth="1"/>
    <col min="14362" max="14364" width="11.140625" style="24" customWidth="1"/>
    <col min="14365" max="14365" width="13.7109375" style="24" customWidth="1"/>
    <col min="14366" max="14593" width="9.140625" style="24"/>
    <col min="14594" max="14594" width="2.28515625" style="24" customWidth="1"/>
    <col min="14595" max="14595" width="20" style="24" customWidth="1"/>
    <col min="14596" max="14596" width="29.140625" style="24" bestFit="1" customWidth="1"/>
    <col min="14597" max="14597" width="11.85546875" style="24" bestFit="1" customWidth="1"/>
    <col min="14598" max="14598" width="4.5703125" style="24" bestFit="1" customWidth="1"/>
    <col min="14599" max="14599" width="10.140625" style="24" bestFit="1" customWidth="1"/>
    <col min="14600" max="14600" width="12.85546875" style="24" bestFit="1" customWidth="1"/>
    <col min="14601" max="14601" width="16.42578125" style="24" bestFit="1" customWidth="1"/>
    <col min="14602" max="14602" width="11" style="24" bestFit="1" customWidth="1"/>
    <col min="14603" max="14603" width="13.42578125" style="24" bestFit="1" customWidth="1"/>
    <col min="14604" max="14604" width="9.28515625" style="24" bestFit="1" customWidth="1"/>
    <col min="14605" max="14605" width="10.140625" style="24" bestFit="1" customWidth="1"/>
    <col min="14606" max="14606" width="5.42578125" style="24" bestFit="1" customWidth="1"/>
    <col min="14607" max="14607" width="12.140625" style="24" bestFit="1" customWidth="1"/>
    <col min="14608" max="14608" width="7.28515625" style="24" bestFit="1" customWidth="1"/>
    <col min="14609" max="14609" width="12.85546875" style="24" bestFit="1" customWidth="1"/>
    <col min="14610" max="14610" width="11" style="24" bestFit="1" customWidth="1"/>
    <col min="14611" max="14611" width="11.5703125" style="24" bestFit="1" customWidth="1"/>
    <col min="14612" max="14616" width="9.140625" style="24"/>
    <col min="14617" max="14617" width="9.28515625" style="24" bestFit="1" customWidth="1"/>
    <col min="14618" max="14620" width="11.140625" style="24" customWidth="1"/>
    <col min="14621" max="14621" width="13.7109375" style="24" customWidth="1"/>
    <col min="14622" max="14849" width="9.140625" style="24"/>
    <col min="14850" max="14850" width="2.28515625" style="24" customWidth="1"/>
    <col min="14851" max="14851" width="20" style="24" customWidth="1"/>
    <col min="14852" max="14852" width="29.140625" style="24" bestFit="1" customWidth="1"/>
    <col min="14853" max="14853" width="11.85546875" style="24" bestFit="1" customWidth="1"/>
    <col min="14854" max="14854" width="4.5703125" style="24" bestFit="1" customWidth="1"/>
    <col min="14855" max="14855" width="10.140625" style="24" bestFit="1" customWidth="1"/>
    <col min="14856" max="14856" width="12.85546875" style="24" bestFit="1" customWidth="1"/>
    <col min="14857" max="14857" width="16.42578125" style="24" bestFit="1" customWidth="1"/>
    <col min="14858" max="14858" width="11" style="24" bestFit="1" customWidth="1"/>
    <col min="14859" max="14859" width="13.42578125" style="24" bestFit="1" customWidth="1"/>
    <col min="14860" max="14860" width="9.28515625" style="24" bestFit="1" customWidth="1"/>
    <col min="14861" max="14861" width="10.140625" style="24" bestFit="1" customWidth="1"/>
    <col min="14862" max="14862" width="5.42578125" style="24" bestFit="1" customWidth="1"/>
    <col min="14863" max="14863" width="12.140625" style="24" bestFit="1" customWidth="1"/>
    <col min="14864" max="14864" width="7.28515625" style="24" bestFit="1" customWidth="1"/>
    <col min="14865" max="14865" width="12.85546875" style="24" bestFit="1" customWidth="1"/>
    <col min="14866" max="14866" width="11" style="24" bestFit="1" customWidth="1"/>
    <col min="14867" max="14867" width="11.5703125" style="24" bestFit="1" customWidth="1"/>
    <col min="14868" max="14872" width="9.140625" style="24"/>
    <col min="14873" max="14873" width="9.28515625" style="24" bestFit="1" customWidth="1"/>
    <col min="14874" max="14876" width="11.140625" style="24" customWidth="1"/>
    <col min="14877" max="14877" width="13.7109375" style="24" customWidth="1"/>
    <col min="14878" max="15105" width="9.140625" style="24"/>
    <col min="15106" max="15106" width="2.28515625" style="24" customWidth="1"/>
    <col min="15107" max="15107" width="20" style="24" customWidth="1"/>
    <col min="15108" max="15108" width="29.140625" style="24" bestFit="1" customWidth="1"/>
    <col min="15109" max="15109" width="11.85546875" style="24" bestFit="1" customWidth="1"/>
    <col min="15110" max="15110" width="4.5703125" style="24" bestFit="1" customWidth="1"/>
    <col min="15111" max="15111" width="10.140625" style="24" bestFit="1" customWidth="1"/>
    <col min="15112" max="15112" width="12.85546875" style="24" bestFit="1" customWidth="1"/>
    <col min="15113" max="15113" width="16.42578125" style="24" bestFit="1" customWidth="1"/>
    <col min="15114" max="15114" width="11" style="24" bestFit="1" customWidth="1"/>
    <col min="15115" max="15115" width="13.42578125" style="24" bestFit="1" customWidth="1"/>
    <col min="15116" max="15116" width="9.28515625" style="24" bestFit="1" customWidth="1"/>
    <col min="15117" max="15117" width="10.140625" style="24" bestFit="1" customWidth="1"/>
    <col min="15118" max="15118" width="5.42578125" style="24" bestFit="1" customWidth="1"/>
    <col min="15119" max="15119" width="12.140625" style="24" bestFit="1" customWidth="1"/>
    <col min="15120" max="15120" width="7.28515625" style="24" bestFit="1" customWidth="1"/>
    <col min="15121" max="15121" width="12.85546875" style="24" bestFit="1" customWidth="1"/>
    <col min="15122" max="15122" width="11" style="24" bestFit="1" customWidth="1"/>
    <col min="15123" max="15123" width="11.5703125" style="24" bestFit="1" customWidth="1"/>
    <col min="15124" max="15128" width="9.140625" style="24"/>
    <col min="15129" max="15129" width="9.28515625" style="24" bestFit="1" customWidth="1"/>
    <col min="15130" max="15132" width="11.140625" style="24" customWidth="1"/>
    <col min="15133" max="15133" width="13.7109375" style="24" customWidth="1"/>
    <col min="15134" max="15361" width="9.140625" style="24"/>
    <col min="15362" max="15362" width="2.28515625" style="24" customWidth="1"/>
    <col min="15363" max="15363" width="20" style="24" customWidth="1"/>
    <col min="15364" max="15364" width="29.140625" style="24" bestFit="1" customWidth="1"/>
    <col min="15365" max="15365" width="11.85546875" style="24" bestFit="1" customWidth="1"/>
    <col min="15366" max="15366" width="4.5703125" style="24" bestFit="1" customWidth="1"/>
    <col min="15367" max="15367" width="10.140625" style="24" bestFit="1" customWidth="1"/>
    <col min="15368" max="15368" width="12.85546875" style="24" bestFit="1" customWidth="1"/>
    <col min="15369" max="15369" width="16.42578125" style="24" bestFit="1" customWidth="1"/>
    <col min="15370" max="15370" width="11" style="24" bestFit="1" customWidth="1"/>
    <col min="15371" max="15371" width="13.42578125" style="24" bestFit="1" customWidth="1"/>
    <col min="15372" max="15372" width="9.28515625" style="24" bestFit="1" customWidth="1"/>
    <col min="15373" max="15373" width="10.140625" style="24" bestFit="1" customWidth="1"/>
    <col min="15374" max="15374" width="5.42578125" style="24" bestFit="1" customWidth="1"/>
    <col min="15375" max="15375" width="12.140625" style="24" bestFit="1" customWidth="1"/>
    <col min="15376" max="15376" width="7.28515625" style="24" bestFit="1" customWidth="1"/>
    <col min="15377" max="15377" width="12.85546875" style="24" bestFit="1" customWidth="1"/>
    <col min="15378" max="15378" width="11" style="24" bestFit="1" customWidth="1"/>
    <col min="15379" max="15379" width="11.5703125" style="24" bestFit="1" customWidth="1"/>
    <col min="15380" max="15384" width="9.140625" style="24"/>
    <col min="15385" max="15385" width="9.28515625" style="24" bestFit="1" customWidth="1"/>
    <col min="15386" max="15388" width="11.140625" style="24" customWidth="1"/>
    <col min="15389" max="15389" width="13.7109375" style="24" customWidth="1"/>
    <col min="15390" max="15617" width="9.140625" style="24"/>
    <col min="15618" max="15618" width="2.28515625" style="24" customWidth="1"/>
    <col min="15619" max="15619" width="20" style="24" customWidth="1"/>
    <col min="15620" max="15620" width="29.140625" style="24" bestFit="1" customWidth="1"/>
    <col min="15621" max="15621" width="11.85546875" style="24" bestFit="1" customWidth="1"/>
    <col min="15622" max="15622" width="4.5703125" style="24" bestFit="1" customWidth="1"/>
    <col min="15623" max="15623" width="10.140625" style="24" bestFit="1" customWidth="1"/>
    <col min="15624" max="15624" width="12.85546875" style="24" bestFit="1" customWidth="1"/>
    <col min="15625" max="15625" width="16.42578125" style="24" bestFit="1" customWidth="1"/>
    <col min="15626" max="15626" width="11" style="24" bestFit="1" customWidth="1"/>
    <col min="15627" max="15627" width="13.42578125" style="24" bestFit="1" customWidth="1"/>
    <col min="15628" max="15628" width="9.28515625" style="24" bestFit="1" customWidth="1"/>
    <col min="15629" max="15629" width="10.140625" style="24" bestFit="1" customWidth="1"/>
    <col min="15630" max="15630" width="5.42578125" style="24" bestFit="1" customWidth="1"/>
    <col min="15631" max="15631" width="12.140625" style="24" bestFit="1" customWidth="1"/>
    <col min="15632" max="15632" width="7.28515625" style="24" bestFit="1" customWidth="1"/>
    <col min="15633" max="15633" width="12.85546875" style="24" bestFit="1" customWidth="1"/>
    <col min="15634" max="15634" width="11" style="24" bestFit="1" customWidth="1"/>
    <col min="15635" max="15635" width="11.5703125" style="24" bestFit="1" customWidth="1"/>
    <col min="15636" max="15640" width="9.140625" style="24"/>
    <col min="15641" max="15641" width="9.28515625" style="24" bestFit="1" customWidth="1"/>
    <col min="15642" max="15644" width="11.140625" style="24" customWidth="1"/>
    <col min="15645" max="15645" width="13.7109375" style="24" customWidth="1"/>
    <col min="15646" max="15873" width="9.140625" style="24"/>
    <col min="15874" max="15874" width="2.28515625" style="24" customWidth="1"/>
    <col min="15875" max="15875" width="20" style="24" customWidth="1"/>
    <col min="15876" max="15876" width="29.140625" style="24" bestFit="1" customWidth="1"/>
    <col min="15877" max="15877" width="11.85546875" style="24" bestFit="1" customWidth="1"/>
    <col min="15878" max="15878" width="4.5703125" style="24" bestFit="1" customWidth="1"/>
    <col min="15879" max="15879" width="10.140625" style="24" bestFit="1" customWidth="1"/>
    <col min="15880" max="15880" width="12.85546875" style="24" bestFit="1" customWidth="1"/>
    <col min="15881" max="15881" width="16.42578125" style="24" bestFit="1" customWidth="1"/>
    <col min="15882" max="15882" width="11" style="24" bestFit="1" customWidth="1"/>
    <col min="15883" max="15883" width="13.42578125" style="24" bestFit="1" customWidth="1"/>
    <col min="15884" max="15884" width="9.28515625" style="24" bestFit="1" customWidth="1"/>
    <col min="15885" max="15885" width="10.140625" style="24" bestFit="1" customWidth="1"/>
    <col min="15886" max="15886" width="5.42578125" style="24" bestFit="1" customWidth="1"/>
    <col min="15887" max="15887" width="12.140625" style="24" bestFit="1" customWidth="1"/>
    <col min="15888" max="15888" width="7.28515625" style="24" bestFit="1" customWidth="1"/>
    <col min="15889" max="15889" width="12.85546875" style="24" bestFit="1" customWidth="1"/>
    <col min="15890" max="15890" width="11" style="24" bestFit="1" customWidth="1"/>
    <col min="15891" max="15891" width="11.5703125" style="24" bestFit="1" customWidth="1"/>
    <col min="15892" max="15896" width="9.140625" style="24"/>
    <col min="15897" max="15897" width="9.28515625" style="24" bestFit="1" customWidth="1"/>
    <col min="15898" max="15900" width="11.140625" style="24" customWidth="1"/>
    <col min="15901" max="15901" width="13.7109375" style="24" customWidth="1"/>
    <col min="15902" max="16129" width="9.140625" style="24"/>
    <col min="16130" max="16130" width="2.28515625" style="24" customWidth="1"/>
    <col min="16131" max="16131" width="20" style="24" customWidth="1"/>
    <col min="16132" max="16132" width="29.140625" style="24" bestFit="1" customWidth="1"/>
    <col min="16133" max="16133" width="11.85546875" style="24" bestFit="1" customWidth="1"/>
    <col min="16134" max="16134" width="4.5703125" style="24" bestFit="1" customWidth="1"/>
    <col min="16135" max="16135" width="10.140625" style="24" bestFit="1" customWidth="1"/>
    <col min="16136" max="16136" width="12.85546875" style="24" bestFit="1" customWidth="1"/>
    <col min="16137" max="16137" width="16.42578125" style="24" bestFit="1" customWidth="1"/>
    <col min="16138" max="16138" width="11" style="24" bestFit="1" customWidth="1"/>
    <col min="16139" max="16139" width="13.42578125" style="24" bestFit="1" customWidth="1"/>
    <col min="16140" max="16140" width="9.28515625" style="24" bestFit="1" customWidth="1"/>
    <col min="16141" max="16141" width="10.140625" style="24" bestFit="1" customWidth="1"/>
    <col min="16142" max="16142" width="5.42578125" style="24" bestFit="1" customWidth="1"/>
    <col min="16143" max="16143" width="12.140625" style="24" bestFit="1" customWidth="1"/>
    <col min="16144" max="16144" width="7.28515625" style="24" bestFit="1" customWidth="1"/>
    <col min="16145" max="16145" width="12.85546875" style="24" bestFit="1" customWidth="1"/>
    <col min="16146" max="16146" width="11" style="24" bestFit="1" customWidth="1"/>
    <col min="16147" max="16147" width="11.5703125" style="24" bestFit="1" customWidth="1"/>
    <col min="16148" max="16152" width="9.140625" style="24"/>
    <col min="16153" max="16153" width="9.28515625" style="24" bestFit="1" customWidth="1"/>
    <col min="16154" max="16156" width="11.140625" style="24" customWidth="1"/>
    <col min="16157" max="16157" width="13.7109375" style="24" customWidth="1"/>
    <col min="16158" max="16384" width="9.140625" style="24"/>
  </cols>
  <sheetData>
    <row r="2" spans="2:29" ht="63" customHeight="1">
      <c r="C2" s="23" t="s">
        <v>194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2:29" ht="13.5" customHeight="1">
      <c r="C3" s="25" t="s">
        <v>195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2:29">
      <c r="E4" s="26"/>
      <c r="U4" s="27"/>
      <c r="V4" s="27"/>
      <c r="W4" s="27"/>
      <c r="X4" s="27"/>
      <c r="Y4" s="27"/>
      <c r="Z4" s="27"/>
      <c r="AA4" s="27"/>
      <c r="AB4" s="27"/>
      <c r="AC4" s="27"/>
    </row>
    <row r="5" spans="2:29" ht="18.75" customHeight="1">
      <c r="B5" s="28" t="s">
        <v>1</v>
      </c>
      <c r="C5" s="28" t="s">
        <v>196</v>
      </c>
      <c r="D5" s="28" t="s">
        <v>197</v>
      </c>
      <c r="E5" s="28" t="s">
        <v>198</v>
      </c>
      <c r="F5" s="28" t="s">
        <v>5</v>
      </c>
      <c r="G5" s="28" t="s">
        <v>199</v>
      </c>
      <c r="H5" s="28" t="s">
        <v>200</v>
      </c>
      <c r="I5" s="28" t="s">
        <v>201</v>
      </c>
      <c r="J5" s="28" t="s">
        <v>202</v>
      </c>
      <c r="K5" s="28" t="s">
        <v>203</v>
      </c>
      <c r="L5" s="28" t="s">
        <v>204</v>
      </c>
      <c r="M5" s="28" t="s">
        <v>205</v>
      </c>
      <c r="N5" s="28" t="s">
        <v>206</v>
      </c>
      <c r="O5" s="29" t="s">
        <v>207</v>
      </c>
      <c r="P5" s="28" t="s">
        <v>208</v>
      </c>
      <c r="Q5" s="28" t="s">
        <v>209</v>
      </c>
      <c r="R5" s="28" t="s">
        <v>210</v>
      </c>
      <c r="S5" s="29" t="s">
        <v>211</v>
      </c>
      <c r="U5" s="30" t="s">
        <v>212</v>
      </c>
      <c r="V5" s="47" t="s">
        <v>213</v>
      </c>
      <c r="W5" s="47"/>
      <c r="X5" s="47"/>
      <c r="Y5" s="31" t="s">
        <v>17</v>
      </c>
      <c r="Z5" s="31" t="s">
        <v>214</v>
      </c>
      <c r="AA5" s="31" t="s">
        <v>17</v>
      </c>
      <c r="AB5" s="31" t="s">
        <v>214</v>
      </c>
      <c r="AC5" s="30" t="s">
        <v>215</v>
      </c>
    </row>
    <row r="6" spans="2:29" ht="18.75">
      <c r="B6" s="39" t="s">
        <v>233</v>
      </c>
      <c r="C6" s="32" t="s">
        <v>222</v>
      </c>
      <c r="D6" s="33" t="s">
        <v>223</v>
      </c>
      <c r="E6" s="33">
        <v>1</v>
      </c>
      <c r="F6" s="33" t="s">
        <v>27</v>
      </c>
      <c r="G6" s="33" t="s">
        <v>218</v>
      </c>
      <c r="H6" s="33" t="s">
        <v>219</v>
      </c>
      <c r="I6" s="33" t="s">
        <v>218</v>
      </c>
      <c r="J6" s="33" t="s">
        <v>218</v>
      </c>
      <c r="K6" s="34">
        <v>46177</v>
      </c>
      <c r="L6" s="33"/>
      <c r="M6" s="33"/>
      <c r="N6" s="33" t="s">
        <v>13</v>
      </c>
      <c r="O6" s="33"/>
      <c r="P6" s="33" t="s">
        <v>220</v>
      </c>
      <c r="Q6" s="33"/>
      <c r="R6" s="33"/>
      <c r="S6" s="33">
        <v>1.0840000000000001</v>
      </c>
      <c r="T6" s="33"/>
      <c r="U6" s="33">
        <v>1</v>
      </c>
      <c r="V6" s="33"/>
      <c r="W6" s="33" t="s">
        <v>224</v>
      </c>
      <c r="X6" s="33"/>
      <c r="Y6" s="33">
        <v>1.8</v>
      </c>
      <c r="Z6" s="33">
        <v>1.99</v>
      </c>
      <c r="AA6" s="33">
        <v>1.8</v>
      </c>
      <c r="AB6" s="33">
        <v>1.99</v>
      </c>
      <c r="AC6" s="33">
        <v>8</v>
      </c>
    </row>
    <row r="7" spans="2:29" ht="18.75">
      <c r="B7" s="39" t="s">
        <v>233</v>
      </c>
      <c r="C7" s="32" t="s">
        <v>225</v>
      </c>
      <c r="D7" s="33" t="s">
        <v>226</v>
      </c>
      <c r="E7" s="33">
        <v>1</v>
      </c>
      <c r="F7" s="33" t="s">
        <v>27</v>
      </c>
      <c r="G7" s="33" t="s">
        <v>218</v>
      </c>
      <c r="H7" s="33" t="s">
        <v>219</v>
      </c>
      <c r="I7" s="33" t="s">
        <v>218</v>
      </c>
      <c r="J7" s="33" t="s">
        <v>218</v>
      </c>
      <c r="K7" s="34">
        <v>46177</v>
      </c>
      <c r="L7" s="33"/>
      <c r="M7" s="33"/>
      <c r="N7" s="33" t="s">
        <v>13</v>
      </c>
      <c r="O7" s="33"/>
      <c r="P7" s="33" t="s">
        <v>220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spans="2:29" ht="18.75">
      <c r="B8" s="39" t="s">
        <v>233</v>
      </c>
      <c r="C8" s="32" t="s">
        <v>227</v>
      </c>
      <c r="D8" s="33" t="s">
        <v>223</v>
      </c>
      <c r="E8" s="33">
        <v>1</v>
      </c>
      <c r="F8" s="33" t="s">
        <v>27</v>
      </c>
      <c r="G8" s="33" t="s">
        <v>218</v>
      </c>
      <c r="H8" s="33" t="s">
        <v>219</v>
      </c>
      <c r="I8" s="33" t="s">
        <v>218</v>
      </c>
      <c r="J8" s="33" t="s">
        <v>218</v>
      </c>
      <c r="K8" s="34">
        <v>46177</v>
      </c>
      <c r="L8" s="33"/>
      <c r="M8" s="33"/>
      <c r="N8" s="33" t="s">
        <v>13</v>
      </c>
      <c r="O8" s="33"/>
      <c r="P8" s="33" t="s">
        <v>220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spans="2:29" ht="18.75">
      <c r="B9" s="39" t="s">
        <v>233</v>
      </c>
      <c r="C9" s="32" t="s">
        <v>228</v>
      </c>
      <c r="D9" s="33" t="s">
        <v>226</v>
      </c>
      <c r="E9" s="33">
        <v>1</v>
      </c>
      <c r="F9" s="33" t="s">
        <v>27</v>
      </c>
      <c r="G9" s="33" t="s">
        <v>218</v>
      </c>
      <c r="H9" s="33" t="s">
        <v>219</v>
      </c>
      <c r="I9" s="33" t="s">
        <v>218</v>
      </c>
      <c r="J9" s="33" t="s">
        <v>218</v>
      </c>
      <c r="K9" s="34">
        <v>46177</v>
      </c>
      <c r="L9" s="33"/>
      <c r="M9" s="33"/>
      <c r="N9" s="33" t="s">
        <v>13</v>
      </c>
      <c r="O9" s="33"/>
      <c r="P9" s="33" t="s">
        <v>220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spans="2:29" ht="18.75">
      <c r="B10" s="39" t="s">
        <v>233</v>
      </c>
      <c r="C10" s="32" t="s">
        <v>229</v>
      </c>
      <c r="D10" s="33" t="s">
        <v>223</v>
      </c>
      <c r="E10" s="33">
        <v>1</v>
      </c>
      <c r="F10" s="33" t="s">
        <v>27</v>
      </c>
      <c r="G10" s="33" t="s">
        <v>218</v>
      </c>
      <c r="H10" s="33" t="s">
        <v>219</v>
      </c>
      <c r="I10" s="33" t="s">
        <v>218</v>
      </c>
      <c r="J10" s="33" t="s">
        <v>218</v>
      </c>
      <c r="K10" s="34">
        <v>46177</v>
      </c>
      <c r="L10" s="33"/>
      <c r="M10" s="33"/>
      <c r="N10" s="33" t="s">
        <v>13</v>
      </c>
      <c r="O10" s="33"/>
      <c r="P10" s="33" t="s">
        <v>220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spans="2:29" ht="18.75">
      <c r="B11" s="39" t="s">
        <v>233</v>
      </c>
      <c r="C11" s="32" t="s">
        <v>230</v>
      </c>
      <c r="D11" s="33" t="s">
        <v>226</v>
      </c>
      <c r="E11" s="33">
        <v>1</v>
      </c>
      <c r="F11" s="33" t="s">
        <v>27</v>
      </c>
      <c r="G11" s="33" t="s">
        <v>218</v>
      </c>
      <c r="H11" s="33" t="s">
        <v>219</v>
      </c>
      <c r="I11" s="33" t="s">
        <v>218</v>
      </c>
      <c r="J11" s="33" t="s">
        <v>218</v>
      </c>
      <c r="K11" s="34">
        <v>46177</v>
      </c>
      <c r="L11" s="33"/>
      <c r="M11" s="33"/>
      <c r="N11" s="33" t="s">
        <v>13</v>
      </c>
      <c r="O11" s="33"/>
      <c r="P11" s="33" t="s">
        <v>220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spans="2:29" ht="18.75">
      <c r="B12" s="39" t="s">
        <v>233</v>
      </c>
      <c r="C12" s="32" t="s">
        <v>231</v>
      </c>
      <c r="D12" s="33" t="s">
        <v>223</v>
      </c>
      <c r="E12" s="33">
        <v>1</v>
      </c>
      <c r="F12" s="33" t="s">
        <v>27</v>
      </c>
      <c r="G12" s="33" t="s">
        <v>218</v>
      </c>
      <c r="H12" s="33" t="s">
        <v>219</v>
      </c>
      <c r="I12" s="33" t="s">
        <v>218</v>
      </c>
      <c r="J12" s="33" t="s">
        <v>218</v>
      </c>
      <c r="K12" s="34">
        <v>46177</v>
      </c>
      <c r="L12" s="33"/>
      <c r="M12" s="33"/>
      <c r="N12" s="33" t="s">
        <v>13</v>
      </c>
      <c r="O12" s="33"/>
      <c r="P12" s="33" t="s">
        <v>220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spans="2:29" ht="18.75">
      <c r="B13" s="39" t="s">
        <v>233</v>
      </c>
      <c r="C13" s="32" t="s">
        <v>232</v>
      </c>
      <c r="D13" s="33" t="s">
        <v>226</v>
      </c>
      <c r="E13" s="33">
        <v>1</v>
      </c>
      <c r="F13" s="33" t="s">
        <v>27</v>
      </c>
      <c r="G13" s="33" t="s">
        <v>218</v>
      </c>
      <c r="H13" s="33" t="s">
        <v>219</v>
      </c>
      <c r="I13" s="33" t="s">
        <v>218</v>
      </c>
      <c r="J13" s="33" t="s">
        <v>218</v>
      </c>
      <c r="K13" s="34">
        <v>46177</v>
      </c>
      <c r="L13" s="33"/>
      <c r="M13" s="33"/>
      <c r="N13" s="33" t="s">
        <v>13</v>
      </c>
      <c r="O13" s="33"/>
      <c r="P13" s="33" t="s">
        <v>220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2:29" ht="18.75">
      <c r="C14" s="35"/>
      <c r="D14" s="33"/>
      <c r="E14" s="33"/>
      <c r="F14" s="33"/>
      <c r="G14" s="33"/>
      <c r="H14" s="33"/>
      <c r="I14" s="33"/>
      <c r="J14" s="33"/>
      <c r="K14" s="3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2:29" ht="18.75">
      <c r="C15" s="33"/>
      <c r="D15" s="33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spans="2:29" ht="18.75">
      <c r="C16" s="33"/>
      <c r="D16" s="33"/>
      <c r="E16" s="33"/>
      <c r="F16" s="33"/>
      <c r="G16" s="33"/>
      <c r="H16" s="33"/>
      <c r="I16" s="33"/>
      <c r="J16" s="33"/>
      <c r="K16" s="34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3:29" ht="18.75">
      <c r="C17" s="33"/>
      <c r="D17" s="33"/>
      <c r="E17" s="33"/>
      <c r="F17" s="33"/>
      <c r="G17" s="33"/>
      <c r="H17" s="33"/>
      <c r="I17" s="33"/>
      <c r="J17" s="33"/>
      <c r="K17" s="34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3:29" ht="18.75">
      <c r="C18" s="33"/>
      <c r="D18" s="33"/>
      <c r="E18" s="33"/>
      <c r="F18" s="33"/>
      <c r="G18" s="33"/>
      <c r="H18" s="33"/>
      <c r="I18" s="33"/>
      <c r="J18" s="33"/>
      <c r="K18" s="3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spans="3:29" ht="18.75">
      <c r="C19" s="33"/>
      <c r="D19" s="33"/>
      <c r="E19" s="33"/>
      <c r="F19" s="33"/>
      <c r="G19" s="33"/>
      <c r="H19" s="33"/>
      <c r="I19" s="33"/>
      <c r="J19" s="33"/>
      <c r="K19" s="34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3:29" ht="18.75">
      <c r="C20" s="33"/>
      <c r="D20" s="33"/>
      <c r="E20" s="33"/>
      <c r="F20" s="33"/>
      <c r="G20" s="33"/>
      <c r="H20" s="33"/>
      <c r="I20" s="33"/>
      <c r="J20" s="33"/>
      <c r="K20" s="34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3:29" ht="18.75">
      <c r="C21" s="33"/>
      <c r="D21" s="33"/>
      <c r="E21" s="33"/>
      <c r="F21" s="33"/>
      <c r="G21" s="33"/>
      <c r="H21" s="33"/>
      <c r="I21" s="33"/>
      <c r="J21" s="33"/>
      <c r="K21" s="34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 spans="3:29" ht="18.75">
      <c r="C22" s="33"/>
      <c r="D22" s="33"/>
      <c r="E22" s="33"/>
      <c r="F22" s="33"/>
      <c r="G22" s="33"/>
      <c r="H22" s="33"/>
      <c r="I22" s="33"/>
      <c r="J22" s="33"/>
      <c r="K22" s="34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 spans="3:29" ht="18.75">
      <c r="C23" s="33"/>
      <c r="D23" s="33"/>
      <c r="E23" s="33"/>
      <c r="F23" s="33"/>
      <c r="G23" s="33"/>
      <c r="H23" s="33"/>
      <c r="I23" s="33"/>
      <c r="J23" s="33"/>
      <c r="K23" s="34"/>
      <c r="L23" s="36"/>
      <c r="M23" s="36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spans="3:29" ht="18.75">
      <c r="C24" s="33"/>
      <c r="D24" s="37"/>
      <c r="E24" s="33"/>
      <c r="F24" s="33"/>
      <c r="G24" s="33"/>
      <c r="H24" s="33"/>
      <c r="I24" s="33"/>
      <c r="J24" s="33"/>
      <c r="K24" s="34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 spans="3:29" ht="18.75">
      <c r="C25" s="36"/>
      <c r="D25" s="38"/>
      <c r="E25" s="33"/>
      <c r="F25" s="33"/>
      <c r="G25" s="33"/>
      <c r="H25" s="33"/>
      <c r="I25" s="33"/>
      <c r="J25" s="33"/>
      <c r="K25" s="34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 spans="3:29" ht="18.75">
      <c r="C26" s="36"/>
      <c r="D26" s="37"/>
      <c r="E26" s="33"/>
      <c r="F26" s="33"/>
      <c r="G26" s="33"/>
      <c r="H26" s="33"/>
      <c r="I26" s="33"/>
      <c r="J26" s="33"/>
      <c r="K26" s="34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 spans="3:29" ht="18.75">
      <c r="C27" s="36"/>
      <c r="D27" s="37"/>
      <c r="E27" s="33"/>
      <c r="F27" s="33"/>
      <c r="G27" s="33"/>
      <c r="H27" s="33"/>
      <c r="I27" s="33"/>
      <c r="J27" s="33"/>
      <c r="K27" s="34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3:29" ht="18.75">
      <c r="C28" s="36"/>
      <c r="D28" s="37"/>
      <c r="E28" s="33"/>
      <c r="F28" s="33"/>
      <c r="G28" s="33"/>
      <c r="H28" s="33"/>
      <c r="I28" s="33"/>
      <c r="J28" s="33"/>
      <c r="K28" s="34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 spans="3:29" ht="18.75">
      <c r="C29" s="36"/>
      <c r="D29" s="36"/>
      <c r="E29" s="36"/>
      <c r="F29" s="36"/>
      <c r="G29" s="36"/>
      <c r="H29" s="36"/>
      <c r="I29" s="36"/>
      <c r="J29" s="36"/>
      <c r="K29" s="34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 spans="3:29" ht="18.75">
      <c r="K30" s="34"/>
    </row>
    <row r="31" spans="3:29" ht="18.75">
      <c r="K31" s="34"/>
    </row>
  </sheetData>
  <mergeCells count="2">
    <mergeCell ref="D2:S3"/>
    <mergeCell ref="V5:X5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Detail</vt:lpstr>
      <vt:lpstr>Pallet Detail</vt:lpstr>
      <vt:lpstr>Muestras TNT (2)</vt:lpstr>
      <vt:lpstr>Muestras TNT</vt:lpstr>
    </vt:vector>
  </TitlesOfParts>
  <Manager/>
  <Company>Coats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Gutierrez</dc:creator>
  <cp:keywords/>
  <dc:description/>
  <cp:lastModifiedBy>Mary Ortiz</cp:lastModifiedBy>
  <cp:revision/>
  <dcterms:created xsi:type="dcterms:W3CDTF">2022-06-15T21:22:40Z</dcterms:created>
  <dcterms:modified xsi:type="dcterms:W3CDTF">2026-04-21T17:43:07Z</dcterms:modified>
  <cp:category/>
  <cp:contentStatus/>
</cp:coreProperties>
</file>